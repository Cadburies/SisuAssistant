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540" tabRatio="600" firstSheet="0" activeTab="0" autoFilterDateGrouping="1"/>
  </bookViews>
  <sheets>
    <sheet name="4层" sheetId="1" state="visible" r:id="rId1"/>
  </sheets>
  <definedNames/>
  <calcPr calcId="144525" fullCalcOnLoad="1"/>
</workbook>
</file>

<file path=xl/styles.xml><?xml version="1.0" encoding="utf-8"?>
<styleSheet xmlns="http://schemas.openxmlformats.org/spreadsheetml/2006/main">
  <numFmts count="0"/>
  <fonts count="36">
    <font>
      <name val="宋体"/>
      <charset val="134"/>
      <color theme="1"/>
      <sz val="11"/>
      <scheme val="minor"/>
    </font>
    <font>
      <name val="Arial"/>
      <charset val="134"/>
      <b val="1"/>
      <color theme="1"/>
      <sz val="18"/>
    </font>
    <font>
      <name val="Arial"/>
      <charset val="134"/>
      <color theme="1"/>
      <sz val="10"/>
    </font>
    <font>
      <name val="Arial"/>
      <charset val="134"/>
      <b val="1"/>
      <color theme="1"/>
      <sz val="11"/>
    </font>
    <font>
      <name val="宋体"/>
      <charset val="134"/>
      <color theme="1"/>
      <sz val="12"/>
    </font>
    <font>
      <name val="宋体"/>
      <charset val="134"/>
      <color theme="1"/>
      <sz val="12"/>
      <scheme val="minor"/>
    </font>
    <font>
      <name val="Arial"/>
      <charset val="134"/>
      <color theme="1"/>
      <sz val="11"/>
    </font>
    <font>
      <name val="宋体"/>
      <charset val="134"/>
      <color theme="1"/>
      <sz val="11"/>
    </font>
    <font>
      <name val="宋体"/>
      <charset val="134"/>
      <b val="1"/>
      <color theme="1"/>
      <sz val="11"/>
      <scheme val="minor"/>
    </font>
    <font>
      <name val="宋体"/>
      <charset val="134"/>
      <b val="1"/>
      <color theme="1"/>
      <sz val="9"/>
      <scheme val="minor"/>
    </font>
    <font>
      <name val="宋体"/>
      <charset val="134"/>
      <sz val="9"/>
    </font>
    <font>
      <name val="宋体"/>
      <charset val="134"/>
      <color theme="1"/>
      <sz val="9"/>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sz val="12"/>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12"/>
      <sz val="13.8"/>
      <u val="single"/>
    </font>
    <font>
      <name val="宋体"/>
      <charset val="134"/>
      <b val="1"/>
      <color theme="1"/>
      <sz val="18"/>
    </font>
    <font>
      <name val="宋体"/>
      <charset val="134"/>
      <b val="1"/>
      <color theme="1"/>
      <sz val="11"/>
    </font>
    <font>
      <name val="宋体"/>
      <charset val="134"/>
      <color theme="1"/>
      <sz val="10"/>
    </font>
  </fonts>
  <fills count="34">
    <fill>
      <patternFill/>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medium">
        <color auto="1"/>
      </left>
      <right style="thin">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s>
  <cellStyleXfs count="67">
    <xf numFmtId="0" fontId="0" fillId="0" borderId="0"/>
    <xf numFmtId="42" fontId="0" fillId="0" borderId="0" applyAlignment="1">
      <alignment vertical="center"/>
    </xf>
    <xf numFmtId="0" fontId="12" fillId="3" borderId="0" applyAlignment="1">
      <alignment vertical="center"/>
    </xf>
    <xf numFmtId="0" fontId="13" fillId="4" borderId="26" applyAlignment="1">
      <alignment vertical="center"/>
    </xf>
    <xf numFmtId="44" fontId="0" fillId="0" borderId="0" applyAlignment="1">
      <alignment vertical="center"/>
    </xf>
    <xf numFmtId="41" fontId="0" fillId="0" borderId="0" applyAlignment="1">
      <alignment vertical="center"/>
    </xf>
    <xf numFmtId="0" fontId="12" fillId="5" borderId="0" applyAlignment="1">
      <alignment vertical="center"/>
    </xf>
    <xf numFmtId="0" fontId="14" fillId="6" borderId="0" applyAlignment="1">
      <alignment vertical="center"/>
    </xf>
    <xf numFmtId="43" fontId="0" fillId="0" borderId="0" applyAlignment="1">
      <alignment vertical="center"/>
    </xf>
    <xf numFmtId="0" fontId="15" fillId="7" borderId="0" applyAlignment="1">
      <alignment vertical="center"/>
    </xf>
    <xf numFmtId="0" fontId="16" fillId="0" borderId="0" applyAlignment="1">
      <alignment vertical="center"/>
    </xf>
    <xf numFmtId="9" fontId="0" fillId="0" borderId="0" applyAlignment="1">
      <alignment vertical="center"/>
    </xf>
    <xf numFmtId="0" fontId="17" fillId="0" borderId="0" applyAlignment="1">
      <alignment vertical="center"/>
    </xf>
    <xf numFmtId="0" fontId="0" fillId="8" borderId="27" applyAlignment="1">
      <alignment vertical="center"/>
    </xf>
    <xf numFmtId="0" fontId="18" fillId="0" borderId="0"/>
    <xf numFmtId="0" fontId="15" fillId="9"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28" applyAlignment="1">
      <alignment vertical="center"/>
    </xf>
    <xf numFmtId="0" fontId="24" fillId="0" borderId="28" applyAlignment="1">
      <alignment vertical="center"/>
    </xf>
    <xf numFmtId="0" fontId="15" fillId="10" borderId="0" applyAlignment="1">
      <alignment vertical="center"/>
    </xf>
    <xf numFmtId="0" fontId="19" fillId="0" borderId="29" applyAlignment="1">
      <alignment vertical="center"/>
    </xf>
    <xf numFmtId="0" fontId="15" fillId="11" borderId="0" applyAlignment="1">
      <alignment vertical="center"/>
    </xf>
    <xf numFmtId="0" fontId="25" fillId="12" borderId="30" applyAlignment="1">
      <alignment vertical="center"/>
    </xf>
    <xf numFmtId="0" fontId="26" fillId="12" borderId="26" applyAlignment="1">
      <alignment vertical="center"/>
    </xf>
    <xf numFmtId="0" fontId="27" fillId="13" borderId="31" applyAlignment="1">
      <alignment vertical="center"/>
    </xf>
    <xf numFmtId="0" fontId="12" fillId="14" borderId="0" applyAlignment="1">
      <alignment vertical="center"/>
    </xf>
    <xf numFmtId="0" fontId="15" fillId="15" borderId="0" applyAlignment="1">
      <alignment vertical="center"/>
    </xf>
    <xf numFmtId="0" fontId="28" fillId="0" borderId="32" applyAlignment="1">
      <alignment vertical="center"/>
    </xf>
    <xf numFmtId="0" fontId="29" fillId="0" borderId="33" applyAlignment="1">
      <alignment vertical="center"/>
    </xf>
    <xf numFmtId="0" fontId="30" fillId="16" borderId="0" applyAlignment="1">
      <alignment vertical="center"/>
    </xf>
    <xf numFmtId="0" fontId="18" fillId="0" borderId="0" applyAlignment="1">
      <alignment vertical="center"/>
    </xf>
    <xf numFmtId="0" fontId="31" fillId="17" borderId="0" applyAlignment="1">
      <alignment vertical="center"/>
    </xf>
    <xf numFmtId="0" fontId="12" fillId="18" borderId="0" applyAlignment="1">
      <alignment vertical="center"/>
    </xf>
    <xf numFmtId="0" fontId="15" fillId="19" borderId="0" applyAlignment="1">
      <alignment vertical="center"/>
    </xf>
    <xf numFmtId="0" fontId="18" fillId="0" borderId="0"/>
    <xf numFmtId="0" fontId="12" fillId="20" borderId="0" applyAlignment="1">
      <alignment vertical="center"/>
    </xf>
    <xf numFmtId="0" fontId="12" fillId="21" borderId="0" applyAlignment="1">
      <alignment vertical="center"/>
    </xf>
    <xf numFmtId="0" fontId="12" fillId="22" borderId="0" applyAlignment="1">
      <alignment vertical="center"/>
    </xf>
    <xf numFmtId="0" fontId="12" fillId="23" borderId="0" applyAlignment="1">
      <alignment vertical="center"/>
    </xf>
    <xf numFmtId="0" fontId="15" fillId="24" borderId="0" applyAlignment="1">
      <alignment vertical="center"/>
    </xf>
    <xf numFmtId="0" fontId="0" fillId="0" borderId="0" applyAlignment="1">
      <alignment vertical="center"/>
    </xf>
    <xf numFmtId="0" fontId="15" fillId="25" borderId="0" applyAlignment="1">
      <alignment vertical="center"/>
    </xf>
    <xf numFmtId="0" fontId="12" fillId="26" borderId="0" applyAlignment="1">
      <alignment vertical="center"/>
    </xf>
    <xf numFmtId="0" fontId="12" fillId="27" borderId="0" applyAlignment="1">
      <alignment vertical="center"/>
    </xf>
    <xf numFmtId="0" fontId="15" fillId="28" borderId="0" applyAlignment="1">
      <alignment vertical="center"/>
    </xf>
    <xf numFmtId="0" fontId="18" fillId="0" borderId="0"/>
    <xf numFmtId="0" fontId="12" fillId="29" borderId="0" applyAlignment="1">
      <alignment vertical="center"/>
    </xf>
    <xf numFmtId="0" fontId="15" fillId="30" borderId="0" applyAlignment="1">
      <alignment vertical="center"/>
    </xf>
    <xf numFmtId="0" fontId="15" fillId="31" borderId="0" applyAlignment="1">
      <alignment vertical="center"/>
    </xf>
    <xf numFmtId="0" fontId="18" fillId="0" borderId="0" applyAlignment="1">
      <alignment vertical="center"/>
    </xf>
    <xf numFmtId="0" fontId="18" fillId="0" borderId="0" applyAlignment="1">
      <alignment vertical="center"/>
    </xf>
    <xf numFmtId="0" fontId="12" fillId="32" borderId="0" applyAlignment="1">
      <alignment vertical="center"/>
    </xf>
    <xf numFmtId="0" fontId="18" fillId="0" borderId="0" applyAlignment="1">
      <alignment vertical="center"/>
    </xf>
    <xf numFmtId="0" fontId="15" fillId="33" borderId="0" applyAlignment="1">
      <alignment vertical="center"/>
    </xf>
    <xf numFmtId="0" fontId="18" fillId="0" borderId="0" applyAlignment="1">
      <alignment vertical="center"/>
    </xf>
    <xf numFmtId="0" fontId="18" fillId="0" borderId="0" applyProtection="1">
      <protection locked="0" hidden="0"/>
    </xf>
    <xf numFmtId="0" fontId="18" fillId="0" borderId="0" applyAlignment="1">
      <alignment vertical="center"/>
    </xf>
    <xf numFmtId="0" fontId="0" fillId="0" borderId="0" applyAlignment="1">
      <alignment vertical="center"/>
    </xf>
    <xf numFmtId="0" fontId="0" fillId="0" borderId="0" applyAlignment="1">
      <alignment vertical="center"/>
    </xf>
    <xf numFmtId="0" fontId="0" fillId="0" borderId="0" applyAlignment="1">
      <alignment vertical="center"/>
    </xf>
    <xf numFmtId="0" fontId="0" fillId="0" borderId="0" applyAlignment="1">
      <alignment vertical="center"/>
    </xf>
    <xf numFmtId="0" fontId="32" fillId="0" borderId="0" applyAlignment="1" applyProtection="1">
      <alignment vertical="top"/>
      <protection locked="0" hidden="0"/>
    </xf>
    <xf numFmtId="0" fontId="32" fillId="0" borderId="0" applyAlignment="1" applyProtection="1">
      <alignment vertical="top"/>
      <protection locked="0" hidden="0"/>
    </xf>
    <xf numFmtId="0" fontId="32" fillId="0" borderId="0" applyAlignment="1" applyProtection="1">
      <alignment vertical="top"/>
      <protection locked="0" hidden="0"/>
    </xf>
  </cellStyleXfs>
  <cellXfs count="68">
    <xf numFmtId="0" fontId="0" fillId="0" borderId="0" pivotButton="0" quotePrefix="0" xfId="0"/>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0" applyAlignment="1" pivotButton="0" quotePrefix="0" xfId="0">
      <alignment horizontal="left" vertical="center"/>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2" applyAlignment="1" pivotButton="0" quotePrefix="0" xfId="0">
      <alignment horizontal="center" vertical="center" wrapText="1"/>
    </xf>
    <xf numFmtId="10" fontId="2" fillId="0" borderId="11"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14" applyAlignment="1" pivotButton="0" quotePrefix="0" xfId="0">
      <alignment horizontal="center" vertical="center" wrapText="1"/>
    </xf>
    <xf numFmtId="0" fontId="4" fillId="0" borderId="15" applyAlignment="1" pivotButton="0" quotePrefix="0" xfId="0">
      <alignment horizontal="center" vertical="center" wrapText="1"/>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5" fillId="0" borderId="18" applyAlignment="1" pivotButton="0" quotePrefix="0" xfId="0">
      <alignment vertical="center"/>
    </xf>
    <xf numFmtId="0" fontId="0" fillId="0" borderId="0" applyAlignment="1" pivotButton="0" quotePrefix="0" xfId="0">
      <alignment horizontal="center" vertical="center"/>
    </xf>
    <xf numFmtId="0" fontId="4" fillId="0" borderId="0" applyAlignment="1" pivotButton="0" quotePrefix="0" xfId="0">
      <alignment horizontal="center" vertical="center" wrapText="1"/>
    </xf>
    <xf numFmtId="0" fontId="0" fillId="0" borderId="19" applyAlignment="1" pivotButton="0" quotePrefix="0" xfId="0">
      <alignment horizontal="center" vertical="center"/>
    </xf>
    <xf numFmtId="0" fontId="4" fillId="0" borderId="18" applyAlignment="1" pivotButton="0" quotePrefix="0" xfId="0">
      <alignment horizontal="center" vertical="center" wrapText="1"/>
    </xf>
    <xf numFmtId="0" fontId="5" fillId="0" borderId="18" applyAlignment="1" pivotButton="0" quotePrefix="0" xfId="0">
      <alignment horizontal="center" vertical="center"/>
    </xf>
    <xf numFmtId="0" fontId="5" fillId="0" borderId="2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0" fontId="6"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8" applyAlignment="1" pivotButton="0" quotePrefix="0" xfId="0">
      <alignment horizontal="center" vertical="center"/>
    </xf>
    <xf numFmtId="0" fontId="6" fillId="0" borderId="11" applyAlignment="1" pivotButton="0" quotePrefix="0" xfId="0">
      <alignment horizontal="center" vertical="center"/>
    </xf>
    <xf numFmtId="0" fontId="6" fillId="0" borderId="9"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vertical="center"/>
    </xf>
    <xf numFmtId="0" fontId="7" fillId="0" borderId="13" applyAlignment="1" pivotButton="0" quotePrefix="0" xfId="0">
      <alignment horizontal="center" vertical="center"/>
    </xf>
    <xf numFmtId="0" fontId="6" fillId="0" borderId="14" applyAlignment="1" pivotButton="0" quotePrefix="0" xfId="0">
      <alignment horizontal="center" vertical="center"/>
    </xf>
    <xf numFmtId="0" fontId="6" fillId="0" borderId="23" applyAlignment="1" pivotButton="0" quotePrefix="0" xfId="0">
      <alignment horizontal="left" vertical="center" wrapText="1"/>
    </xf>
    <xf numFmtId="0" fontId="6" fillId="0" borderId="24" applyAlignment="1" pivotButton="0" quotePrefix="0" xfId="0">
      <alignment horizontal="left" vertical="center" wrapText="1"/>
    </xf>
    <xf numFmtId="0" fontId="6" fillId="0" borderId="25" applyAlignment="1" pivotButton="0" quotePrefix="0" xfId="0">
      <alignment horizontal="left" vertical="center" wrapText="1"/>
    </xf>
    <xf numFmtId="0" fontId="8" fillId="0" borderId="0" applyAlignment="1" pivotButton="0" quotePrefix="0" xfId="0">
      <alignment horizontal="left" vertical="center"/>
    </xf>
    <xf numFmtId="0" fontId="9" fillId="0" borderId="0" applyAlignment="1" pivotButton="0" quotePrefix="0" xfId="0">
      <alignment vertical="center"/>
    </xf>
    <xf numFmtId="0" fontId="10" fillId="2" borderId="0" applyAlignment="1" applyProtection="1" pivotButton="0" quotePrefix="0" xfId="59">
      <alignment vertical="center"/>
      <protection locked="0" hidden="0"/>
    </xf>
    <xf numFmtId="0" fontId="10" fillId="2" borderId="11" applyAlignment="1" applyProtection="1" pivotButton="0" quotePrefix="0" xfId="59">
      <alignment horizontal="center" vertical="center"/>
      <protection locked="0" hidden="0"/>
    </xf>
    <xf numFmtId="0" fontId="11" fillId="0" borderId="11" applyAlignment="1" pivotButton="0" quotePrefix="0" xfId="0">
      <alignment horizontal="center" vertical="center" wrapText="1"/>
    </xf>
    <xf numFmtId="0" fontId="10" fillId="2" borderId="11" applyAlignment="1" applyProtection="1" pivotButton="0" quotePrefix="0" xfId="59">
      <alignment horizontal="center" vertical="center" wrapText="1"/>
      <protection locked="0" hidden="0"/>
    </xf>
    <xf numFmtId="0" fontId="11" fillId="0" borderId="11" applyAlignment="1" pivotButton="0" quotePrefix="0" xfId="0">
      <alignment vertical="center"/>
    </xf>
    <xf numFmtId="0" fontId="0" fillId="0" borderId="11" pivotButton="0" quotePrefix="0" xfId="0"/>
    <xf numFmtId="0" fontId="0" fillId="0" borderId="16" applyAlignment="1" pivotButton="0" quotePrefix="1" xfId="0">
      <alignment horizontal="center" vertical="center"/>
    </xf>
    <xf numFmtId="0" fontId="0" fillId="0" borderId="0" applyAlignment="1" pivotButton="0" quotePrefix="1" xfId="0">
      <alignment horizontal="center" vertical="center"/>
    </xf>
    <xf numFmtId="0" fontId="0" fillId="0" borderId="21" applyAlignment="1" pivotButton="0" quotePrefix="1" xfId="0">
      <alignment horizontal="center" vertical="center"/>
    </xf>
    <xf numFmtId="0" fontId="0" fillId="0" borderId="3" pivotButton="0" quotePrefix="0" xfId="0"/>
    <xf numFmtId="0" fontId="0" fillId="0" borderId="4" pivotButton="0" quotePrefix="0" xfId="0"/>
    <xf numFmtId="0" fontId="0" fillId="0" borderId="10" pivotButton="0" quotePrefix="0" xfId="0"/>
    <xf numFmtId="0" fontId="0" fillId="0" borderId="16" pivotButton="0" quotePrefix="0" xfId="0"/>
    <xf numFmtId="0" fontId="0" fillId="0" borderId="17" pivotButton="0" quotePrefix="0" xfId="0"/>
    <xf numFmtId="0" fontId="0" fillId="0" borderId="19" pivotButton="0" quotePrefix="0" xfId="0"/>
    <xf numFmtId="0" fontId="0" fillId="0" borderId="21" pivotButton="0" quotePrefix="0" xfId="0"/>
    <xf numFmtId="0" fontId="0" fillId="0" borderId="22" pivotButton="0" quotePrefix="0" xfId="0"/>
    <xf numFmtId="0" fontId="6" fillId="0" borderId="37" applyAlignment="1" pivotButton="0" quotePrefix="0" xfId="0">
      <alignment horizontal="left" vertical="center" wrapText="1"/>
    </xf>
    <xf numFmtId="0" fontId="0" fillId="0" borderId="24" pivotButton="0" quotePrefix="0" xfId="0"/>
    <xf numFmtId="0" fontId="0" fillId="0" borderId="25" pivotButton="0" quotePrefix="0" xfId="0"/>
  </cellXfs>
  <cellStyles count="6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常规 6" xfId="14"/>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常规 16" xfId="33"/>
    <cellStyle name="适中" xfId="34" builtinId="28"/>
    <cellStyle name="20% - 强调文字颜色 5" xfId="35" builtinId="46"/>
    <cellStyle name="强调文字颜色 1" xfId="36" builtinId="29"/>
    <cellStyle name="常规 2 2 2"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常规 3 2" xfId="43"/>
    <cellStyle name="强调文字颜色 4" xfId="44" builtinId="41"/>
    <cellStyle name="20% - 强调文字颜色 4" xfId="45" builtinId="42"/>
    <cellStyle name="40% - 强调文字颜色 4" xfId="46" builtinId="43"/>
    <cellStyle name="强调文字颜色 5" xfId="47" builtinId="45"/>
    <cellStyle name="常规 2 2" xfId="48"/>
    <cellStyle name="40% - 强调文字颜色 5" xfId="49" builtinId="47"/>
    <cellStyle name="60% - 强调文字颜色 5" xfId="50" builtinId="48"/>
    <cellStyle name="强调文字颜色 6" xfId="51" builtinId="49"/>
    <cellStyle name="常规 16 2" xfId="52"/>
    <cellStyle name="常规 2 3" xfId="53"/>
    <cellStyle name="40% - 强调文字颜色 6" xfId="54" builtinId="51"/>
    <cellStyle name="常规 16 2 2" xfId="55"/>
    <cellStyle name="60% - 强调文字颜色 6" xfId="56" builtinId="52"/>
    <cellStyle name="常规 16 3" xfId="57"/>
    <cellStyle name="常规 16 5" xfId="58"/>
    <cellStyle name="常规 2" xfId="59"/>
    <cellStyle name="常规 3" xfId="60"/>
    <cellStyle name="常规 4" xfId="61"/>
    <cellStyle name="常规 4 2" xfId="62"/>
    <cellStyle name="常规 5" xfId="63"/>
    <cellStyle name="超链接 2" xfId="64"/>
    <cellStyle name="超链接 2 2" xfId="65"/>
    <cellStyle name="超链接 3" xfId="66"/>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26"/>
  <sheetViews>
    <sheetView tabSelected="1" workbookViewId="0">
      <selection activeCell="B2" sqref="B2:F2"/>
    </sheetView>
  </sheetViews>
  <sheetFormatPr baseColWidth="8" defaultColWidth="9" defaultRowHeight="13.5"/>
  <cols>
    <col width="28.5" customWidth="1" min="1" max="1"/>
    <col width="16.25" customWidth="1" min="2" max="2"/>
    <col width="4.75" customWidth="1" min="3" max="3"/>
    <col width="20.5" customWidth="1" min="4" max="4"/>
    <col width="25.125" customWidth="1" min="5" max="5"/>
    <col width="22.125" customWidth="1" min="6" max="6"/>
    <col width="15.625" customWidth="1" min="7" max="7"/>
    <col width="19.5" customWidth="1" min="8" max="8"/>
    <col hidden="1" width="41.5" customWidth="1" min="9" max="9"/>
    <col hidden="1" width="9" customWidth="1" min="10" max="26"/>
  </cols>
  <sheetData>
    <row r="1" ht="42.75" customHeight="1">
      <c r="A1" s="2" t="inlineStr">
        <is>
          <t>PCB Manufacturing Process Specification                                                                               PCB 加工工艺说明书</t>
        </is>
      </c>
    </row>
    <row r="2" ht="30.75" customFormat="1" customHeight="1" s="1">
      <c r="A2" s="3" t="inlineStr">
        <is>
          <t>File Name：                                                                                                                                                                                                                                              项目名称</t>
        </is>
      </c>
      <c r="B2" s="3" t="inlineStr">
        <is>
          <t xml:space="preserve">MarineBoard-PCBWay-Gerbers.zip</t>
        </is>
      </c>
      <c r="C2" s="57" t="n"/>
      <c r="D2" s="57" t="n"/>
      <c r="E2" s="57" t="n"/>
      <c r="F2" s="58" t="n"/>
    </row>
    <row r="3" ht="24" customFormat="1" customHeight="1" s="1">
      <c r="A3" s="7" t="inlineStr">
        <is>
          <t>1. General Manufacturing Information（基本工艺信息）</t>
        </is>
      </c>
    </row>
    <row r="4" ht="30" customHeight="1">
      <c r="A4" s="3" t="inlineStr">
        <is>
          <t>Layers                                             层数</t>
        </is>
      </c>
      <c r="B4" s="9" t="inlineStr">
        <is>
          <t>4 layer (4层）</t>
        </is>
      </c>
      <c r="C4" s="58" t="n"/>
      <c r="D4" s="9" t="inlineStr">
        <is>
          <t>PCB Material                PCB材料</t>
        </is>
      </c>
      <c r="E4" s="9" t="inlineStr">
        <is>
          <t>FR4</t>
        </is>
      </c>
      <c r="F4" s="58" t="n"/>
      <c r="I4" s="47" t="inlineStr">
        <is>
          <t>叠层顺序</t>
        </is>
      </c>
      <c r="J4" s="1" t="n"/>
      <c r="K4" s="48" t="n"/>
      <c r="L4" s="48" t="n"/>
      <c r="M4" s="48" t="n"/>
      <c r="N4" s="48" t="n"/>
      <c r="O4" s="48" t="n"/>
      <c r="P4" s="48" t="n"/>
      <c r="Q4" s="48" t="n"/>
      <c r="R4" s="48" t="n"/>
      <c r="S4" s="48" t="n"/>
      <c r="T4" s="48" t="n"/>
      <c r="U4" s="48" t="n"/>
      <c r="V4" s="48" t="n"/>
      <c r="W4" s="48" t="n"/>
      <c r="X4" s="48" t="n"/>
      <c r="Y4" s="48" t="n"/>
      <c r="Z4" s="48" t="n"/>
    </row>
    <row r="5" ht="34.5" customHeight="1">
      <c r="A5" s="11" t="inlineStr">
        <is>
          <t>Finished Board Thickness(mm)         成品板厚</t>
        </is>
      </c>
      <c r="B5" s="14" t="inlineStr">
        <is>
          <t>1.6mm</t>
        </is>
      </c>
      <c r="C5" s="59" t="n"/>
      <c r="D5" s="14" t="inlineStr">
        <is>
          <t>Board Thickness Tolerance板厚公差</t>
        </is>
      </c>
      <c r="E5" s="14" t="inlineStr">
        <is>
          <t>±10%</t>
        </is>
      </c>
      <c r="F5" s="59" t="n"/>
      <c r="I5" s="49" t="inlineStr">
        <is>
          <t>提取结果</t>
        </is>
      </c>
      <c r="J5" s="49" t="inlineStr">
        <is>
          <t>4层</t>
        </is>
      </c>
      <c r="K5" s="49" t="inlineStr">
        <is>
          <t>6层</t>
        </is>
      </c>
      <c r="L5" s="49" t="inlineStr">
        <is>
          <t>8层</t>
        </is>
      </c>
      <c r="M5" s="49" t="inlineStr">
        <is>
          <t>10层</t>
        </is>
      </c>
      <c r="N5" s="49" t="inlineStr">
        <is>
          <t>12层</t>
        </is>
      </c>
      <c r="O5" s="49" t="inlineStr">
        <is>
          <t>14层</t>
        </is>
      </c>
      <c r="P5" s="49" t="inlineStr">
        <is>
          <t>16层</t>
        </is>
      </c>
      <c r="Q5" s="49" t="inlineStr">
        <is>
          <t>18层</t>
        </is>
      </c>
      <c r="R5" s="49" t="inlineStr">
        <is>
          <t>20层</t>
        </is>
      </c>
      <c r="S5" s="49" t="inlineStr">
        <is>
          <t>22层</t>
        </is>
      </c>
      <c r="T5" s="49" t="inlineStr">
        <is>
          <t>24层</t>
        </is>
      </c>
      <c r="U5" s="49" t="inlineStr">
        <is>
          <t>26层</t>
        </is>
      </c>
      <c r="V5" s="49" t="inlineStr">
        <is>
          <t>28层</t>
        </is>
      </c>
      <c r="W5" s="49" t="inlineStr">
        <is>
          <t>30层</t>
        </is>
      </c>
      <c r="X5" s="49" t="inlineStr">
        <is>
          <t>32层</t>
        </is>
      </c>
      <c r="Y5" s="49" t="inlineStr">
        <is>
          <t>34层</t>
        </is>
      </c>
      <c r="Z5" s="49" t="inlineStr">
        <is>
          <t>36层</t>
        </is>
      </c>
    </row>
    <row r="6" ht="28.5" customHeight="1">
      <c r="A6" s="11" t="inlineStr">
        <is>
          <t>Finished Board Size(mm)                 成品尺寸</t>
        </is>
      </c>
      <c r="B6" s="14" t="inlineStr">
        <is>
          <t>83.0*67.5mm</t>
        </is>
      </c>
      <c r="C6" s="59" t="n"/>
      <c r="D6" s="14" t="inlineStr">
        <is>
          <t>Dimensional Tolerance     尺寸公差</t>
        </is>
      </c>
      <c r="E6" s="14" t="inlineStr">
        <is>
          <t>±0.15（常规）</t>
        </is>
      </c>
      <c r="F6" s="59" t="n"/>
      <c r="I6" s="50">
        <f>IF(ISERROR(HLOOKUP(B4,J5:Z10,1,0)),"",IF(AND(NOT(ISERROR(HLOOKUP(B4,J5:Z10,1,0))),HLOOKUP(B4,J5:Z10,2,0)&lt;&gt;""),HLOOKUP(B4,J5:Z10,2,0),""))</f>
        <v/>
      </c>
      <c r="J6" s="51" t="inlineStr">
        <is>
          <t>TOP-G2-P3-BOT（内0S）</t>
        </is>
      </c>
      <c r="K6" s="51" t="inlineStr">
        <is>
          <t>TOP-G2-S3-P4-G5-BOT（内1S）</t>
        </is>
      </c>
      <c r="L6" s="51" t="inlineStr">
        <is>
          <t>TOP-G2-S3-G4-P5-S6-G7-BOT（内2S）</t>
        </is>
      </c>
      <c r="M6" s="51" t="inlineStr">
        <is>
          <t>TOP-G2-S3-G4-S5-P6-G7-S8-G9-BOT（内3S）</t>
        </is>
      </c>
      <c r="N6" s="51" t="inlineStr">
        <is>
          <t>TOP-G2-S3-G4-S5-G6-P7-S8-G9-S10-G11-BOT（内4S）</t>
        </is>
      </c>
      <c r="O6" s="51" t="inlineStr">
        <is>
          <t>TOP-G2-S3-G4-S5-G6-S7-P8-G9-S10-G11-S12-G13-BOT（内5S）</t>
        </is>
      </c>
      <c r="P6" s="51" t="inlineStr">
        <is>
          <t>TOP-G2-S3-G4-S5-G6-S7-G8-P9-S10-G11-S12-G13-S14-G15-BOT（内6S）</t>
        </is>
      </c>
      <c r="Q6" s="51" t="inlineStr">
        <is>
          <t>TOP-G2-S3-G4-S5-G6-S7-G8-S9-P10-G11-S12-G13-S14-G15-S16-G17-BOT（内7S）</t>
        </is>
      </c>
      <c r="R6" s="51" t="inlineStr">
        <is>
          <t>TOP-G2-S3-G4-S5-G6-S7-G8-S9-G10-P11-S12-G13-S14-G15-S16-G17-S18-G19-BOT（内8S）</t>
        </is>
      </c>
      <c r="S6" s="51" t="inlineStr">
        <is>
          <t>TOP-G2-S3-G4-S5-G6-S7-G8-S9-G10-S11-P12-G13-S14-G15-S16-G17-S18-G19-S20-G21-BOT（内9S）</t>
        </is>
      </c>
      <c r="T6" s="51" t="inlineStr">
        <is>
          <t>TOP-G2-S3-G4-S5-G6-S7-G8-S9-G10-S11-G12-P13-S14-G15-S16-G17-S18-G19-S20-G21-S22-G23-BOT（内10S）</t>
        </is>
      </c>
      <c r="U6" s="51" t="inlineStr">
        <is>
          <t>TOP-G2-S3-G4-S5-G6-S7-G8-S9-G10-S11-G12-S13-P14-G15-S16-G17-S18-G19-S20-G21-S22-G23-S24-G25-BOT（内11S）</t>
        </is>
      </c>
      <c r="V6" s="51" t="inlineStr">
        <is>
          <t>TOP-G2-S3-G4-S5-G6-S7-G8-S9-G10-S11-G12-S13-G14-P15-S16-G17-S18-G19-S20-G21-S22-G23-S24-G25-S26-G27-BOT（内12S）</t>
        </is>
      </c>
      <c r="W6" s="51" t="inlineStr">
        <is>
          <t>TOP-G2-S3-G4-S5-G6-S7-G8-S9-G10-S11-G12-S13-G14-S15-P16-G17-S18-G19-S20-G21-S22-G23-S24-G25-S26-G27-S28-G29-BOT（内13S）</t>
        </is>
      </c>
      <c r="X6" s="51" t="inlineStr">
        <is>
          <t>TOP-G2-S3-G4-S5-G6-S7-G8-S9-G10-S11-G12-S13-G14-S15-G16-P17-S18-G19-S20-G21-S22-G23-S24-G25-S26-G27-S28-G29-S30-G31-BOT（内14S）</t>
        </is>
      </c>
      <c r="Y6" s="51" t="inlineStr">
        <is>
          <t>TOP-G2-S3-G4-S5-G6-S7-G8-S9-G10-S11-G12-S13-G14-S15-G16-S17-P18-G19-S20-G21-S22-G23-S24-G25-S26-G27-S28-G29-S30-G31-S32-G33-BOT（内15S）</t>
        </is>
      </c>
      <c r="Z6" s="51" t="inlineStr">
        <is>
          <t>TOP-G2-S3-G4-S5-G6-S7-G8-S9-G10-S11-G12-S13-G14-S15-G16-S17-G18-P19-S20-G21-S22-G23-S24-G25-S26-G27-S28-G29-S30-G31-S32-G33-S34-G35-BOT（内16S）</t>
        </is>
      </c>
    </row>
    <row r="7" ht="24.75" customHeight="1">
      <c r="A7" s="11" t="inlineStr">
        <is>
          <t>PCB Type                                       板子类型</t>
        </is>
      </c>
      <c r="B7" s="14" t="inlineStr">
        <is>
          <t>Rigid PCB (刚性板)</t>
        </is>
      </c>
      <c r="C7" s="59" t="n"/>
      <c r="D7" s="14" t="inlineStr">
        <is>
          <t>Paneling Method              拼版方式</t>
        </is>
      </c>
      <c r="E7" s="14" t="inlineStr">
        <is>
          <t>Single Board Delivery（单板交付）</t>
        </is>
      </c>
      <c r="F7" s="59" t="n"/>
      <c r="I7" s="50">
        <f>IF(AND(ISERROR(HLOOKUP(B4,J5:Z10,1,0)),B4&lt;&gt;""),"",IF(AND(ISERROR(HLOOKUP(B4,J5:Z10,1,0)),B4=""),"请先选择印制板层数。",IF(AND(NOT(ISERROR(HLOOKUP(B4,J5:Z10,1,0))),HLOOKUP(B4,J5:Z10,3,0)&lt;&gt;""),HLOOKUP(B4,J5:Z10,3,0),"")))</f>
        <v/>
      </c>
      <c r="J7" s="52" t="n"/>
      <c r="K7" s="51" t="inlineStr">
        <is>
          <t>TOP-G2-P3-S4-G5-BOT（内1S）</t>
        </is>
      </c>
      <c r="L7" s="51" t="inlineStr">
        <is>
          <t>TOP-G2-S3-S4-P5-S6-G7-BOT（内3S）</t>
        </is>
      </c>
      <c r="M7" s="51" t="inlineStr">
        <is>
          <t>TOP-G2-S3-G4-P5-S6-G7-S8-G9-BOT（内3S）</t>
        </is>
      </c>
      <c r="N7" s="51" t="inlineStr">
        <is>
          <t>TOP-G2-S3-P4-S5-G6-S7-S8-G9-S10-G11-BOT（内5S）</t>
        </is>
      </c>
      <c r="O7" s="51" t="inlineStr">
        <is>
          <t>TOP-G2-S3-G4-S5-G6-P7-S8-G9-S10-G11-S12-G13-BOT（内5S）</t>
        </is>
      </c>
      <c r="P7" s="51" t="inlineStr">
        <is>
          <t>TOP-G2-S3-G4-S5-G6-S7-G8-S9-S10-G11-S12-P13-S14-G15-BOT（内7S）</t>
        </is>
      </c>
      <c r="Q7" s="51" t="inlineStr">
        <is>
          <t>TOP-G2-S3-G4-S5-G6-S7-G8-P9-S10-G11-S12-G13-S14-G15-S16-G17-BOT（内7S）</t>
        </is>
      </c>
      <c r="R7" s="51" t="inlineStr">
        <is>
          <t>TOP-G2-S3-G4-S5-G6-S7-P8-S9-G10-S11-S12-G13-S14-G15-S16-G17-S18-G19-BOT（内9S）</t>
        </is>
      </c>
      <c r="S7" s="51" t="inlineStr">
        <is>
          <t>TOP-G2-S3-G4-S5-G6-S7-G8-S9-G10-P11-S12-G13-S14-G15-S16-G17-S18-G19-S20-G21-BOT（内9S）</t>
        </is>
      </c>
      <c r="T7" s="51" t="inlineStr">
        <is>
          <t>TOP-G2-S3-G4-S5-G6-S7-G8-S9-P10-S11-G12-S13-S14-G15-S16-G17-S18-G19-S20-G21-S22-G23-BOT（内11S）</t>
        </is>
      </c>
      <c r="U7" s="51" t="inlineStr">
        <is>
          <t>TOP-G2-S3-G4-S5-G6-S7-G8-S9-G10-S11-G12-P13-S14-G15-S16-G17-S18-G19-S20-G21-S22-G23-S24-G25-BOT（内11S）</t>
        </is>
      </c>
      <c r="V7" s="51" t="inlineStr">
        <is>
          <t>TOP-G2-S3-G4-S5-G6-S7-G8-S9-G10-S11-P12-S13-G14-S15-S16-G17-S18-G19-S20-G21-S22-G23-S24-G25-S26-G27-BOT（内13S）</t>
        </is>
      </c>
      <c r="W7" s="51" t="inlineStr">
        <is>
          <t>TOP-G2-S3-G4-S5-G6-S7-G8-S9-G10-S11-G12-S13-G14-P15-S16-G17-S18-G19-S20-G21-S22-G23-S24-G25-S26-G27-S28-G29-BOT（内13S）</t>
        </is>
      </c>
      <c r="X7" s="51" t="inlineStr">
        <is>
          <t>TOP-G2-S3-G4-S5-G6-S7-G8-S9-G10-S11-G12-S13-P14-S15-G16-S17-S18-G19-S20-G21-S22-G23-S24-G25-S26-G27-S28-G29-S30-G31-BOT（内15S）</t>
        </is>
      </c>
      <c r="Y7" s="51" t="inlineStr">
        <is>
          <t>TOP-G2-S3-G4-S5-G6-S7-G8-S9-G10-S11-G12-S13-G14-S15-G16-P17-S18-G19-S20-G21-S22-G23-S24-G25-S26-G27-S28-G29-S30-G31-S32-G33-BOT（内15S）</t>
        </is>
      </c>
      <c r="Z7" s="51" t="inlineStr">
        <is>
          <t>TOP-G2-S3-G4-S5-G6-S7-G8-S9-G10-S11-G12-S13-G14-S15-P16-S17-G18-S19-S20-G21-S22-G23-S24-G25-S26-G27-S28-G29-S30-G31-S32-G33-S34-G35-BOT（内17S）</t>
        </is>
      </c>
    </row>
    <row r="8" ht="27" customHeight="1">
      <c r="A8" s="11" t="inlineStr">
        <is>
          <t>Acceptance Criteria                          验收标准</t>
        </is>
      </c>
      <c r="B8" s="14" t="inlineStr">
        <is>
          <t>IPC-6012 II</t>
        </is>
      </c>
      <c r="C8" s="59" t="n"/>
      <c r="D8" s="14" t="inlineStr">
        <is>
          <t>PCB Warpage                 翘曲度</t>
        </is>
      </c>
      <c r="E8" s="16" t="n">
        <v>0.015</v>
      </c>
      <c r="F8" s="59" t="n"/>
      <c r="I8" s="50">
        <f>IF(ISERROR(HLOOKUP(B4,J5:Z10,1,0)),"",IF(AND(NOT(ISERROR(HLOOKUP(B4,J5:Z10,1,0))),HLOOKUP(B4,J5:Z10,4,0)&lt;&gt;""),HLOOKUP(B4,J5:Z10,4,0),""))</f>
        <v/>
      </c>
      <c r="J8" s="52" t="n"/>
      <c r="K8" s="51" t="inlineStr">
        <is>
          <t>TOP-G2-S3-S4-P5-BOT（内2S）</t>
        </is>
      </c>
      <c r="L8" s="51" t="inlineStr">
        <is>
          <t>TOP-G2-S3-P4-S5-S6-G7-BOT（内3S）</t>
        </is>
      </c>
      <c r="M8" s="51" t="inlineStr">
        <is>
          <t>TOP-G2-S3-G4-S5-S6-P7-S8-G9-BOT（内4S）</t>
        </is>
      </c>
      <c r="N8" s="51" t="inlineStr">
        <is>
          <t>TOP-G2-S3-G4-S5-S6-G7-S8-P9-S10-G11-BOT（内5S）</t>
        </is>
      </c>
      <c r="O8" s="51" t="inlineStr">
        <is>
          <t>TOP-G2-S3-G4-S5-G6-S7-S8-G9-S10-P11-S12-G13-BOT（内6S）</t>
        </is>
      </c>
      <c r="P8" s="51" t="inlineStr">
        <is>
          <t>TOP-G2-S3-G4-S5-G6-S7-S8-G9-S10-G11-S12-P13-S14-G15-BOT（内7S）</t>
        </is>
      </c>
      <c r="Q8" s="51" t="inlineStr">
        <is>
          <t>TOP-G2-S3-G4-S5-G6-S7-G8-S9-S10-G11-S12-P13-S14-G15-S16-G17-BOT（内8S）</t>
        </is>
      </c>
      <c r="R8" s="51" t="inlineStr">
        <is>
          <t>TOP-G2-S3-G4-S5-G6-S7-G8-S9-S10-G11-S12-P13-S14-G15-S16-G17-S18-G19-BOT（内9S）</t>
        </is>
      </c>
      <c r="S8" s="51" t="inlineStr">
        <is>
          <t>TOP-G2-S3-G4-S5-G6-S7-G8-S9-G10-S11-S12-G13-S14-P15-S16-G17-S18-G19-S20-G21-BOT（内10S）</t>
        </is>
      </c>
      <c r="T8" s="51" t="inlineStr">
        <is>
          <t>TOP-G2-S3-G4-S5-G6-S7-G8-S9-G10-S11-S12-G13-S14-P15-S16-G17-S18-G19-S20-G21-S22-G23-BOT（内11S）</t>
        </is>
      </c>
      <c r="U8" s="51" t="inlineStr">
        <is>
          <t>TOP-G2-S3-G4-S5-G6-S7-G8-S9-G10-S11-G12-S13-S14-G15-S16-P17-S18-G19-S20-G21-S22-G23-S24-G25-BOT（内12S）</t>
        </is>
      </c>
      <c r="V8" s="51" t="inlineStr">
        <is>
          <t>TOP-G2-S3-G4-S5-G6-S7-G8-S9-G10-S11-G12-S13-S14-G15-S16-P17-S18-G19-S20-G21-S22-G23-S24-G25-S26-G27-BOT（内13S）</t>
        </is>
      </c>
      <c r="W8" s="51" t="inlineStr">
        <is>
          <t>TOP-G2-S3-G4-S5-G6-S7-G8-S9-G10-S11-G12-S13-G14-S15-S16-G17-S18-P19-S20-G21-S22-G23-S24-G25-S26-G27-S28-G29-BOT（内14S）</t>
        </is>
      </c>
      <c r="X8" s="51" t="inlineStr">
        <is>
          <t>TOP-G2-S3-G4-S5-G6-S7-G8-S9-G10-S11-G12-S13-G14-S15-S16-G17-S18-P19-S20-G21-S22-G23-S24-G25-S26-G27-S28-G29-S30-G31-BOT（内15S）</t>
        </is>
      </c>
      <c r="Y8" s="51" t="inlineStr">
        <is>
          <t>TOP-G2-S3-G4-S5-G6-S7-G8-S9-G10-S11-G12-S13-G14-S15-G16-S17-S18-G19-S20-P21-S22-G23-S24-G25-S26-G27-S28-G29-S30-G31-S32-G33-BOT（内16S）</t>
        </is>
      </c>
      <c r="Z8" s="51" t="inlineStr">
        <is>
          <t>TOP-G2-S3-G4-S5-G6-S7-G8-S9-G10-S11-G12-S13-G14-S15-G16-S17-S18-G19-S20-P21-S22-G23-S24-G25-S26-G27-S28-G29-S30-G31-S32-G33-S34-G35-BOT（内17S）</t>
        </is>
      </c>
    </row>
    <row r="9" ht="27.75" customHeight="1">
      <c r="A9" s="11" t="inlineStr">
        <is>
          <t>Surface Finish                                 表面处理</t>
        </is>
      </c>
      <c r="B9" s="14" t="inlineStr">
        <is>
          <t>ENIG (Immersion gold) 沉金</t>
        </is>
      </c>
      <c r="C9" s="59" t="n"/>
      <c r="D9" s="14" t="inlineStr">
        <is>
          <t>Via Process                    过孔方式</t>
        </is>
      </c>
      <c r="E9" s="14" t="inlineStr">
        <is>
          <t>Resin filled + copper capped (POFV), all vias 全部树脂塞孔电镀填平</t>
        </is>
      </c>
      <c r="F9" s="59" t="n"/>
      <c r="I9" s="50">
        <f>IF(ISERROR(HLOOKUP(B4,J5:Z10,1,0)),"",IF(AND(NOT(ISERROR(HLOOKUP(B4,J5:Z10,1,0))),HLOOKUP(B4,J5:Z10,5,0)&lt;&gt;""),HLOOKUP(B4,J5:Z10,5,0),""))</f>
        <v/>
      </c>
      <c r="J9" s="51" t="n"/>
      <c r="K9" s="51" t="n"/>
      <c r="L9" s="51" t="n"/>
      <c r="M9" s="51" t="inlineStr">
        <is>
          <t>TOP-G2-S3-S4-G5-P6-S7-S8-G9-BOT（内4S）</t>
        </is>
      </c>
      <c r="N9" s="51" t="inlineStr">
        <is>
          <t>TOP-G2-S3-S4-G5-P6-P7-G8-S9-S10-G11-BOT（内4S）</t>
        </is>
      </c>
      <c r="O9" s="51" t="inlineStr">
        <is>
          <t>TOP-G2-S3-G4-S5-G6-P7-P8-G9-S10-G11-S12-G13-BOT（内4S）</t>
        </is>
      </c>
      <c r="P9" s="51" t="inlineStr">
        <is>
          <t>TOP-G2-S3-G4-S5-S6-G7-P8-P9-G10-S11-S12-G13-S14-G15-BOT（内6S）</t>
        </is>
      </c>
      <c r="Q9" s="51" t="inlineStr">
        <is>
          <t>TOP-G2-S3-G4-S5-G6-S7-G8-P9-P10-G11-S12-G13-S14-G15-S16-G17-BOT（内6S）</t>
        </is>
      </c>
      <c r="R9" s="51" t="inlineStr">
        <is>
          <t>TOP-G2-S3-G4-S5-G6-S7-S8-G9-P10-P11-G12-S13-S14-G15-S16-G17-S18-G19-BOT（内8S）</t>
        </is>
      </c>
      <c r="S9" s="51" t="inlineStr">
        <is>
          <t>TOP-G2-S3-G4-S5-G6-S7-G8-S9-G10-P11-P12-G13-S14-G15-S16-G17-S18-G19-S20-G21-BOT（内8S）</t>
        </is>
      </c>
      <c r="T9" s="51" t="inlineStr">
        <is>
          <t>TOP-G2-S3-G4-S5-G6-S7-G8-S9-S10-G11-P12-P13-G14-S15-S16-G17-S18-G19-S20-G21-S22-G23-BOT（内10S）</t>
        </is>
      </c>
      <c r="U9" s="51" t="inlineStr">
        <is>
          <t>TOP-G2-S3-G4-S5-G6-S7-G8-S9-G10-S11-G12-P13-P14-G15-S16-G17-S18-G19-S20-G21-S22-G23-S24-G25-BOT（内10S）</t>
        </is>
      </c>
      <c r="V9" s="51" t="inlineStr">
        <is>
          <t>TOP-G2-S3-G4-S5-G6-S7-G8-S9-G10-S11-S12-G13-P14-P15-G16-S17-S18-G19-S20-G21-S22-G23-S24-G25-S26-G27-BOT（内12S）</t>
        </is>
      </c>
      <c r="W9" s="51" t="inlineStr">
        <is>
          <t>TOP-G2-S3-G4-S5-G6-S7-G8-S9-G10-S11-G12-S13-G14-P15-P16-G17-S18-G19-S20-G21-S22-G23-S24-G25-S26-G27-S28-G29-BOT（内12S）</t>
        </is>
      </c>
      <c r="X9" s="51" t="inlineStr">
        <is>
          <t>TOP-G2-S3-G4-S5-G6-S7-G8-S9-G10-S11-G12-S13-S14-G15-P16-P17-G18-S19-S20-G21-S22-G23-S24-G25-S26-G27-S28-G29-S30-G31-BOT（内14S）</t>
        </is>
      </c>
      <c r="Y9" s="51" t="inlineStr">
        <is>
          <t>TOP-G2-S3-G4-S5-G6-S7-G8-S9-G10-S11-G12-S13-G14-S15-G16-P17-P18-G19-S20-G21-S22-G23-S24-G25-S26-G27-S28-G29-S30-G31-S32-G33-BOT（内14S）</t>
        </is>
      </c>
      <c r="Z9" s="51" t="inlineStr">
        <is>
          <t>TOP-G2-S3-G4-S5-G6-S7-G8-S9-G10-S11-G12-S13-G14-S15-S16-G17-P18-P19-G20-S21-S22-G23-S24-G25-S26-G27-S28-G29-S30-G31-S32-G33-S34-G35-BOT（内16S）</t>
        </is>
      </c>
    </row>
    <row r="10" ht="24.75" customHeight="1">
      <c r="A10" s="11" t="inlineStr">
        <is>
          <t>Soldermask                                          阻焊颜色</t>
        </is>
      </c>
      <c r="B10" s="14" t="inlineStr">
        <is>
          <t>Green 绿色</t>
        </is>
      </c>
      <c r="C10" s="59" t="n"/>
      <c r="D10" s="14" t="inlineStr">
        <is>
          <t>Silkscreen                       丝印</t>
        </is>
      </c>
      <c r="E10" s="14" t="inlineStr">
        <is>
          <t>White 白色</t>
        </is>
      </c>
      <c r="F10" s="59" t="n"/>
      <c r="I10" s="53" t="inlineStr">
        <is>
          <t>无阻抗要求</t>
        </is>
      </c>
      <c r="J10" s="51" t="n"/>
      <c r="K10" s="51" t="n"/>
      <c r="L10" s="51" t="n"/>
      <c r="M10" s="51" t="inlineStr">
        <is>
          <t>TOP-G2-S3-G4-P5-P6-G7-S8-G9-BOT（内2S）</t>
        </is>
      </c>
      <c r="N10" s="51" t="n"/>
      <c r="O10" s="51" t="n"/>
      <c r="P10" s="51" t="n"/>
      <c r="Q10" s="51" t="n"/>
      <c r="R10" s="51" t="n"/>
      <c r="S10" s="51" t="n"/>
      <c r="T10" s="51" t="n"/>
      <c r="U10" s="51" t="n"/>
      <c r="V10" s="51" t="n"/>
      <c r="W10" s="51" t="n"/>
      <c r="X10" s="51" t="n"/>
      <c r="Y10" s="51" t="n"/>
      <c r="Z10" s="51" t="n"/>
    </row>
    <row r="11" ht="26.25" customHeight="1">
      <c r="A11" s="17" t="inlineStr">
        <is>
          <t>Special Markings                             特殊标记</t>
        </is>
      </c>
      <c r="B11" s="14" t="inlineStr">
        <is>
          <t>None</t>
        </is>
      </c>
      <c r="C11" s="59" t="n"/>
      <c r="D11" s="18" t="inlineStr">
        <is>
          <t>Cycle Identification           周期标识</t>
        </is>
      </c>
      <c r="E11" s="14" t="inlineStr">
        <is>
          <t>No 不加</t>
        </is>
      </c>
      <c r="F11" s="59" t="n"/>
      <c r="I11" s="53" t="n"/>
    </row>
    <row r="12" ht="19.5" customHeight="1">
      <c r="A12" s="7" t="inlineStr">
        <is>
          <t>2. Stackup Information（叠层信息）</t>
        </is>
      </c>
    </row>
    <row r="13" ht="19.5" customHeight="1">
      <c r="A13" s="19" t="inlineStr">
        <is>
          <t>TOP</t>
        </is>
      </c>
      <c r="B13" s="54" t="inlineStr">
        <is>
          <t>=======================================</t>
        </is>
      </c>
      <c r="C13" s="60" t="n"/>
      <c r="D13" s="60" t="n"/>
      <c r="E13" s="21" t="inlineStr">
        <is>
          <t>1 Oz finished (35um)</t>
        </is>
      </c>
      <c r="F13" s="61" t="n"/>
    </row>
    <row r="14" ht="19.5" customHeight="1">
      <c r="A14" s="22" t="n"/>
      <c r="B14" s="23" t="inlineStr">
        <is>
          <t>PP</t>
        </is>
      </c>
      <c r="C14" s="24" t="inlineStr">
        <is>
          <t>FR4</t>
        </is>
      </c>
      <c r="E14" s="25" t="n"/>
      <c r="F14" s="62" t="n"/>
    </row>
    <row r="15" ht="19.5" customHeight="1">
      <c r="A15" s="26" t="inlineStr">
        <is>
          <t>GND02</t>
        </is>
      </c>
      <c r="B15" s="55" t="inlineStr">
        <is>
          <t>=======================================</t>
        </is>
      </c>
      <c r="E15" s="25" t="inlineStr">
        <is>
          <t>35um（1Oz）</t>
        </is>
      </c>
      <c r="F15" s="62" t="n"/>
    </row>
    <row r="16" ht="19.5" customHeight="1">
      <c r="A16" s="22" t="n"/>
      <c r="B16" s="23" t="inlineStr">
        <is>
          <t>Core</t>
        </is>
      </c>
      <c r="C16" s="24" t="inlineStr">
        <is>
          <t>FR4</t>
        </is>
      </c>
      <c r="E16" s="25" t="n"/>
      <c r="F16" s="62" t="n"/>
    </row>
    <row r="17" ht="19.5" customHeight="1">
      <c r="A17" s="27" t="inlineStr">
        <is>
          <t>PWR03</t>
        </is>
      </c>
      <c r="B17" s="55" t="inlineStr">
        <is>
          <t>=======================================</t>
        </is>
      </c>
      <c r="E17" s="25" t="inlineStr">
        <is>
          <t>35um（1Oz）</t>
        </is>
      </c>
      <c r="F17" s="62" t="n"/>
    </row>
    <row r="18" ht="19.5" customHeight="1">
      <c r="A18" s="22" t="n"/>
      <c r="B18" s="23" t="inlineStr">
        <is>
          <t>PP</t>
        </is>
      </c>
      <c r="C18" s="24" t="inlineStr">
        <is>
          <t>FR4</t>
        </is>
      </c>
      <c r="E18" s="25" t="n"/>
      <c r="F18" s="62" t="n"/>
    </row>
    <row r="19" ht="19.5" customHeight="1">
      <c r="A19" s="28" t="inlineStr">
        <is>
          <t>BOTTOM</t>
        </is>
      </c>
      <c r="B19" s="56" t="inlineStr">
        <is>
          <t>=======================================</t>
        </is>
      </c>
      <c r="C19" s="63" t="n"/>
      <c r="D19" s="63" t="n"/>
      <c r="E19" s="30" t="inlineStr">
        <is>
          <t>1 Oz finished (35um)</t>
        </is>
      </c>
      <c r="F19" s="64" t="n"/>
    </row>
    <row r="20" ht="20.1" customHeight="1">
      <c r="A20" s="7" t="inlineStr">
        <is>
          <t>3.Impedance Information（阻抗信息）No impedance requirement  （无阻抗要求）</t>
        </is>
      </c>
    </row>
    <row r="21" ht="30" customHeight="1">
      <c r="A21" s="31" t="inlineStr">
        <is>
          <t>Impedance Type                           阻抗类型</t>
        </is>
      </c>
      <c r="B21" s="32" t="inlineStr">
        <is>
          <t>Impedance Value 阻抗值</t>
        </is>
      </c>
      <c r="C21" s="32" t="inlineStr">
        <is>
          <t xml:space="preserve">	Control Layer                         控制层</t>
        </is>
      </c>
      <c r="D21" s="58" t="n"/>
      <c r="E21" s="32" t="inlineStr">
        <is>
          <t>Trace Width / Spacing (mil)        线宽/线距</t>
        </is>
      </c>
      <c r="F21" s="35" t="inlineStr">
        <is>
          <t>solder mask on the traces                 盖油</t>
        </is>
      </c>
    </row>
    <row r="22" ht="23.25" customHeight="1">
      <c r="A22" s="36" t="inlineStr">
        <is>
          <t>单端（Default line）</t>
        </is>
      </c>
      <c r="B22" s="37" t="inlineStr">
        <is>
          <t>50Ω</t>
        </is>
      </c>
      <c r="C22" s="37" t="inlineStr">
        <is>
          <t>TOP/BOTTOM</t>
        </is>
      </c>
      <c r="D22" s="59" t="n"/>
      <c r="E22" s="37" t="n">
        <v>8</v>
      </c>
      <c r="F22" s="40" t="inlineStr">
        <is>
          <t>是/YES</t>
        </is>
      </c>
    </row>
    <row r="23" ht="24.75" customHeight="1">
      <c r="A23" s="41" t="inlineStr">
        <is>
          <t>差分（Differential line）</t>
        </is>
      </c>
      <c r="B23" s="42" t="inlineStr">
        <is>
          <t>90Ω</t>
        </is>
      </c>
      <c r="C23" s="37" t="inlineStr">
        <is>
          <t>TOP/BOTTOM</t>
        </is>
      </c>
      <c r="D23" s="59" t="n"/>
      <c r="E23" s="42" t="inlineStr">
        <is>
          <t>5.4/7</t>
        </is>
      </c>
      <c r="F23" s="40" t="inlineStr">
        <is>
          <t>是/YES</t>
        </is>
      </c>
    </row>
    <row r="24" ht="23.25" customHeight="1">
      <c r="A24" s="7" t="inlineStr">
        <is>
          <t>4. Special Instructions（特殊说明）</t>
        </is>
      </c>
    </row>
    <row r="25" ht="77.09999999999999" customHeight="1">
      <c r="A25" s="65" t="inlineStr">
        <is>
          <t>a. Adjust the layer spacing, trace width, and trace spacing according to actual conditions, but the overall board thickness and impedance requirements must be met.（根据实际情况调整层间距、线宽和线距，但必须满足整体板厚和阻抗要求）
b. The dielectric thickness between layers may be adjusted.（层间介质厚度可调整）
c. Trace width may be adjusted.（线宽可调整）
d.Please compare IPC with short circuit, and if there are any issues, please confirm with EQ.(请ipc开短路比对，如果有问题，请EQ确认。)
e. Thermal vias inside SMD pads (Q4, D8, U3, U8, U23): plug/tent from the BOTTOM side only; do not put solder mask on the pad openings.（焊盘内散热过孔仅从底面塞孔/盖油，焊盘开窗不得覆盖阻焊）
f. Min finished hole 0.254mm; min track/space 0.127/0.127mm; min annular ring 0.15mm.（最小孔径0.254mm，最小线宽/线距0.127/0.127mm，最小焊环0.15mm）</t>
        </is>
      </c>
      <c r="B25" s="66" t="n"/>
      <c r="C25" s="66" t="n"/>
      <c r="D25" s="66" t="n"/>
      <c r="E25" s="66" t="n"/>
      <c r="F25" s="67" t="n"/>
    </row>
    <row r="26">
      <c r="F26" s="46" t="n"/>
    </row>
  </sheetData>
  <mergeCells count="41">
    <mergeCell ref="B7:C7"/>
    <mergeCell ref="B17:D17"/>
    <mergeCell ref="E5:F5"/>
    <mergeCell ref="B13:D13"/>
    <mergeCell ref="C14:D14"/>
    <mergeCell ref="A12:F12"/>
    <mergeCell ref="E14:F14"/>
    <mergeCell ref="A3:F3"/>
    <mergeCell ref="E17:F17"/>
    <mergeCell ref="E8:F8"/>
    <mergeCell ref="E4:F4"/>
    <mergeCell ref="B19:D19"/>
    <mergeCell ref="C16:D16"/>
    <mergeCell ref="B2:F2"/>
    <mergeCell ref="E10:F10"/>
    <mergeCell ref="B11:C11"/>
    <mergeCell ref="E19:F19"/>
    <mergeCell ref="E13:F13"/>
    <mergeCell ref="C22:D22"/>
    <mergeCell ref="B15:D15"/>
    <mergeCell ref="A20:F20"/>
    <mergeCell ref="E9:F9"/>
    <mergeCell ref="B8:C8"/>
    <mergeCell ref="E6:F6"/>
    <mergeCell ref="C21:D21"/>
    <mergeCell ref="E15:F15"/>
    <mergeCell ref="B10:C10"/>
    <mergeCell ref="E11:F11"/>
    <mergeCell ref="B9:C9"/>
    <mergeCell ref="C23:D23"/>
    <mergeCell ref="A24:F24"/>
    <mergeCell ref="B6:C6"/>
    <mergeCell ref="F26:I26"/>
    <mergeCell ref="E16:F16"/>
    <mergeCell ref="E7:F7"/>
    <mergeCell ref="B5:C5"/>
    <mergeCell ref="A1:F1"/>
    <mergeCell ref="C18:D18"/>
    <mergeCell ref="E18:F18"/>
    <mergeCell ref="B4:C4"/>
    <mergeCell ref="A25:F25"/>
  </mergeCells>
  <dataValidations count="18">
    <dataValidation sqref="E13:F13 E19:F19" showDropDown="0" showInputMessage="1" showErrorMessage="1" allowBlank="1" type="list">
      <formula1>"0.5 Oz+Plating,0.33 Oz+Plating,1 Oz+Plating,"</formula1>
    </dataValidation>
    <dataValidation sqref="E4:F4" showDropDown="0" showInputMessage="1" showErrorMessage="1" allowBlank="1" type="list">
      <formula1>"FR4,Aluminum PCB （铝基板）,Rogers 4003C,Rogers 4350B"</formula1>
    </dataValidation>
    <dataValidation sqref="E5:F5" showDropDown="0" showInputMessage="1" showErrorMessage="1" allowBlank="1" type="list">
      <formula1>"±10%,±0.1（Usually selected when the board thickness is less than 1mm 通常板厚小于1mm时选用）,others(其它)"</formula1>
    </dataValidation>
    <dataValidation sqref="B4:C4" showDropDown="0" showInputMessage="1" showErrorMessage="1" allowBlank="1" type="list">
      <formula1>"2 layer (2层）,4 layer (4层）,6 layer (6层）,8 layer (8层）,10 layer (10层）,12 layer (12层）,14 layer (14层）,16 layer (16层）,18 layer (18层）,20 layer (20层）,22 layer (22层）,24 layer (24层）,26 layer (26层）,28 layer (28层）,30 layer (30层）"</formula1>
    </dataValidation>
    <dataValidation sqref="B5:C5" showDropDown="0" showInputMessage="1" showErrorMessage="1" allowBlank="1" type="list">
      <formula1>"0.8mm,1.0mm,1.2mm,1.6mm,2.0mm"</formula1>
    </dataValidation>
    <dataValidation sqref="E6:F6" showDropDown="0" showInputMessage="1" showErrorMessage="1" allowBlank="1" type="list">
      <formula1>"±0.15（usual 常规）,±0.2,±0.1,+0/-0.3,others(其它)"</formula1>
    </dataValidation>
    <dataValidation sqref="B8:C8" showDropDown="0" showInputMessage="1" showErrorMessage="1" allowBlank="1" type="list">
      <formula1>"GJB 362B-2009,QJ 831B-2011,GJB 7548-2012,QJ 201B-2012,IPC-6012 II,IPC-6012 III,IPC-6013 II,IPC-6013 III,IPC-6016 II,IPC-6016 III,IPC-6018 II,IPC-6018 III,SJ-20604,QJ 831B-2011+Aerospace-grade 宇航级,QJ 201B-2012+Aerospace-grade 宇航级,Others 其它"</formula1>
    </dataValidation>
    <dataValidation sqref="B7:C7" showDropDown="0" showInputMessage="1" showErrorMessage="1" allowBlank="1" type="list">
      <formula1>"Rigid PCB (刚性板),Rigid-flex PCB (刚挠板),Flex PCB (挠性板)"</formula1>
    </dataValidation>
    <dataValidation sqref="E8:F8" showDropDown="0" showInputMessage="1" showErrorMessage="1" allowBlank="1" type="list">
      <formula1>"1.5%,0.75%,0.5%,Others 其它"</formula1>
    </dataValidation>
    <dataValidation sqref="B9:C9" showDropDown="0" showInputMessage="1" showErrorMessage="1" allowBlank="1" type="list">
      <formula1>"HASL with lead 有铅喷锡,HASL lead free 无铅喷锡,Immersion gold(ENIG) 沉金,OSP,Immersion silver(Ag) 沉银,Immersion tin 沉锡,Hard gold 镀硬金,ENEPIG 镍钯金,HASL+Gold Finer 喷锡+金手指,Lead Free+Gold finger无铅喷锡+金手指,Immersion gold(ENIG)+Gold finger沉金+金手指,OSP+金手指,Others 其它"</formula1>
    </dataValidation>
    <dataValidation sqref="E9:F9" showDropDown="0" showInputMessage="1" showErrorMessage="1" allowBlank="1" type="list">
      <formula1>"Tenting vias 过孔盖油,Plugged vias with resin 树脂塞孔,Vias not covered 开窗,Plugged vias with solder mask at BGA BGA处阻焊塞孔(others as per file 其它按文件）,Plugged vias with solder mask 阻焊塞孔,Others 其它"</formula1>
    </dataValidation>
    <dataValidation sqref="B10:C10" showDropDown="0" showInputMessage="1" showErrorMessage="1" allowBlank="1" type="list">
      <formula1>"Green 绿色,Blue 蓝色,Black 黑色,Yellow 黄色,Red 红色,White 白色,Purple 紫色,Matter black 哑光黑,Matte green 哑光绿,Pink 粉色,Grey 灰色,Orange 橙色 ,Transparent 透明色"</formula1>
    </dataValidation>
    <dataValidation sqref="E10:F10" showDropDown="0" showInputMessage="1" showErrorMessage="1" allowBlank="1" type="list">
      <formula1>"White 白色,Yellow 黄色,Black 黑色,Blue 蓝色"</formula1>
    </dataValidation>
    <dataValidation sqref="B11:C11" showDropDown="0" showInputMessage="1" showErrorMessage="1" allowBlank="1" type="list">
      <formula1>"Logo,UL Certification (UL 证书） ,Factory Marking (工厂标记）,None"</formula1>
    </dataValidation>
    <dataValidation sqref="E11:F11" showDropDown="0" showInputMessage="1" showErrorMessage="1" allowBlank="1" type="list">
      <formula1>"Yes 加,No 不加"</formula1>
    </dataValidation>
    <dataValidation sqref="B12:F12" showDropDown="0" showInputMessage="1" showErrorMessage="1" allowBlank="1" type="list">
      <formula1>$I$6:$I$11</formula1>
    </dataValidation>
    <dataValidation sqref="B14 B16 B18" showDropDown="0" showInputMessage="1" showErrorMessage="1" allowBlank="1" type="list">
      <formula1>"PP,Core"</formula1>
    </dataValidation>
    <dataValidation sqref="E15:F15 E17:F17" showDropDown="0" showInputMessage="1" showErrorMessage="1" allowBlank="1" type="list">
      <formula1>"18um（1/2Oz）,35um（1Oz）,70um（2Oz）,105um（3Oz）,140um（4Oz）,其它"</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2026-09-29T01:07:46Z</dcterms:modified>
  <cp:lastModifiedBy>2-3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2AAE60FD62BE485D8DDAD2D83891046A_13</vt:lpwstr>
  </property>
  <property name="KSOProductBuildVer" fmtid="{D5CDD505-2E9C-101B-9397-08002B2CF9AE}" pid="3">
    <vt:lpwstr>2052-11.1.0.12302</vt:lpwstr>
  </property>
  <property name="CalculationRule" fmtid="{D5CDD505-2E9C-101B-9397-08002B2CF9AE}" pid="4">
    <vt:i4>0</vt:i4>
  </property>
</Properties>
</file>