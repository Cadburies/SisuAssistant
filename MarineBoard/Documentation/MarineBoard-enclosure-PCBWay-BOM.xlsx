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rder" sheetId="1" state="visible" r:id="rId1"/>
    <sheet name="Printed parts" sheetId="2" state="visible" r:id="rId2"/>
    <sheet name="Connectors" sheetId="3" state="visible" r:id="rId3"/>
    <sheet name="Hardware" sheetId="4" state="visible" r:id="rId4"/>
  </sheets>
  <definedNames>
    <definedName name="_xlnm.Print_Titles" localSheetId="0">'Order'!$1:$2</definedName>
    <definedName name="_xlnm.Print_Area" localSheetId="0">'Order'!$A$1:$C$27</definedName>
    <definedName name="_xlnm._FilterDatabase" localSheetId="1" hidden="1">'Printed parts'!$A$4:$D$6</definedName>
    <definedName name="_xlnm.Print_Area" localSheetId="1">'Printed parts'!$A$1:$D$6</definedName>
    <definedName name="_xlnm._FilterDatabase" localSheetId="2" hidden="1">'Connectors'!$A$4:$G$12</definedName>
    <definedName name="_xlnm.Print_Area" localSheetId="2">'Connectors'!$A$1:$G$12</definedName>
    <definedName name="_xlnm._FilterDatabase" localSheetId="3" hidden="1">'Hardware'!$A$4:$D$9</definedName>
    <definedName name="_xlnm.Print_Area" localSheetId="3">'Hardware'!$A$1:$D$9</definedName>
  </definedNames>
  <calcPr calcId="124519" calcMode="auto" fullCalcOnLoad="1"/>
</workbook>
</file>

<file path=xl/styles.xml><?xml version="1.0" encoding="utf-8"?>
<styleSheet xmlns="http://schemas.openxmlformats.org/spreadsheetml/2006/main">
  <numFmts count="2">
    <numFmt numFmtId="164" formatCode="#,##0&quot; mm&quot;"/>
    <numFmt numFmtId="165" formatCode="0&quot; tube&quot;"/>
  </numFmts>
  <fonts count="8">
    <font>
      <name val="Calibri"/>
      <family val="2"/>
      <color theme="1"/>
      <sz val="11"/>
      <scheme val="minor"/>
    </font>
    <font>
      <name val="Calibri"/>
      <b val="1"/>
      <color rgb="001F4E79"/>
      <sz val="18"/>
    </font>
    <font>
      <name val="Calibri"/>
      <color rgb="00595959"/>
      <sz val="11"/>
    </font>
    <font>
      <name val="Calibri"/>
      <b val="1"/>
      <color rgb="00FFFFFF"/>
      <sz val="11"/>
    </font>
    <font>
      <name val="Calibri"/>
      <b val="1"/>
      <color rgb="001A1A1A"/>
      <sz val="11"/>
    </font>
    <font>
      <name val="Calibri"/>
      <b val="1"/>
      <color rgb="001A1A1A"/>
      <sz val="14"/>
    </font>
    <font>
      <name val="Calibri"/>
      <color rgb="001A1A1A"/>
      <sz val="11"/>
    </font>
    <font>
      <name val="Calibri"/>
      <color rgb="000563C1"/>
      <sz val="11"/>
      <u val="single"/>
    </font>
  </fonts>
  <fills count="8">
    <fill>
      <patternFill/>
    </fill>
    <fill>
      <patternFill patternType="gray125"/>
    </fill>
    <fill>
      <patternFill patternType="solid">
        <fgColor rgb="001F4E79"/>
      </patternFill>
    </fill>
    <fill>
      <patternFill patternType="solid">
        <fgColor rgb="00F4F7FB"/>
      </patternFill>
    </fill>
    <fill>
      <patternFill patternType="solid">
        <fgColor rgb="00FFF2CC"/>
      </patternFill>
    </fill>
    <fill>
      <patternFill patternType="solid">
        <fgColor rgb="00FFFFFF"/>
      </patternFill>
    </fill>
    <fill>
      <patternFill patternType="solid">
        <fgColor rgb="00E2EFDA"/>
      </patternFill>
    </fill>
    <fill>
      <patternFill patternType="solid">
        <fgColor rgb="00FCE4D6"/>
      </patternFill>
    </fill>
  </fills>
  <borders count="2">
    <border>
      <left/>
      <right/>
      <top/>
      <bottom/>
      <diagonal/>
    </border>
    <border>
      <left style="thin">
        <color rgb="00D0D7E2"/>
      </left>
      <right style="thin">
        <color rgb="00D0D7E2"/>
      </right>
      <top style="thin">
        <color rgb="00D0D7E2"/>
      </top>
      <bottom style="thin">
        <color rgb="00D0D7E2"/>
      </botto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applyAlignment="1" pivotButton="0" quotePrefix="0" xfId="0">
      <alignment horizontal="left" vertical="center" wrapText="1"/>
    </xf>
    <xf numFmtId="0" fontId="3" fillId="2" borderId="1" applyAlignment="1" pivotButton="0" quotePrefix="0" xfId="0">
      <alignment horizontal="center" vertical="center" wrapText="1"/>
    </xf>
    <xf numFmtId="0" fontId="4" fillId="3" borderId="1" applyAlignment="1" pivotButton="0" quotePrefix="0" xfId="0">
      <alignment horizontal="left" vertical="center" wrapText="1"/>
    </xf>
    <xf numFmtId="0" fontId="5" fillId="4" borderId="1" applyAlignment="1" pivotButton="0" quotePrefix="0" xfId="0">
      <alignment horizontal="center" vertical="center"/>
    </xf>
    <xf numFmtId="0" fontId="6" fillId="0" borderId="1" applyAlignment="1" pivotButton="0" quotePrefix="0" xfId="0">
      <alignment horizontal="left" vertical="center" wrapText="1"/>
    </xf>
    <xf numFmtId="0" fontId="3" fillId="2" borderId="0" applyAlignment="1" pivotButton="0" quotePrefix="0" xfId="0">
      <alignment horizontal="left" vertical="center" wrapText="1"/>
    </xf>
    <xf numFmtId="0" fontId="4" fillId="5" borderId="1" applyAlignment="1" pivotButton="0" quotePrefix="0" xfId="0">
      <alignment horizontal="left" vertical="center" wrapText="1"/>
    </xf>
    <xf numFmtId="0" fontId="6" fillId="5" borderId="1" applyAlignment="1" pivotButton="0" quotePrefix="0" xfId="0">
      <alignment horizontal="left" vertical="center" wrapText="1"/>
    </xf>
    <xf numFmtId="0" fontId="0" fillId="5" borderId="1" applyAlignment="1" pivotButton="0" quotePrefix="0" xfId="0">
      <alignment horizontal="left" vertical="center" wrapText="1"/>
    </xf>
    <xf numFmtId="0" fontId="6" fillId="3" borderId="1" applyAlignment="1" pivotButton="0" quotePrefix="0" xfId="0">
      <alignment horizontal="left" vertical="center" wrapText="1"/>
    </xf>
    <xf numFmtId="0" fontId="0" fillId="3" borderId="1" applyAlignment="1" pivotButton="0" quotePrefix="0" xfId="0">
      <alignment horizontal="left" vertical="center" wrapText="1"/>
    </xf>
    <xf numFmtId="0" fontId="3" fillId="2" borderId="0" pivotButton="0" quotePrefix="0" xfId="0"/>
    <xf numFmtId="0" fontId="4" fillId="3" borderId="1" applyAlignment="1" pivotButton="0" quotePrefix="0" xfId="0">
      <alignment horizontal="center" vertical="center" wrapText="1"/>
    </xf>
    <xf numFmtId="0" fontId="0" fillId="0" borderId="1" pivotButton="0" quotePrefix="0" xfId="0"/>
    <xf numFmtId="0" fontId="1" fillId="0" borderId="0" applyAlignment="1" pivotButton="0" quotePrefix="0" xfId="0">
      <alignment vertical="center"/>
    </xf>
    <xf numFmtId="0" fontId="2" fillId="0" borderId="0" applyAlignment="1" pivotButton="0" quotePrefix="0" xfId="0">
      <alignment vertical="center" wrapText="1"/>
    </xf>
    <xf numFmtId="1" fontId="4" fillId="0" borderId="1" applyAlignment="1" pivotButton="0" quotePrefix="0" xfId="0">
      <alignment horizontal="center" vertical="center" wrapText="1"/>
    </xf>
    <xf numFmtId="1" fontId="4" fillId="6" borderId="1" applyAlignment="1" pivotButton="0" quotePrefix="0" xfId="0">
      <alignment horizontal="center" vertical="center" wrapText="1"/>
    </xf>
    <xf numFmtId="0" fontId="4" fillId="0" borderId="1" applyAlignment="1" pivotButton="0" quotePrefix="0" xfId="0">
      <alignment horizontal="left" vertical="center" wrapText="1"/>
    </xf>
    <xf numFmtId="1" fontId="4" fillId="3" borderId="1" applyAlignment="1" pivotButton="0" quotePrefix="0" xfId="0">
      <alignment horizontal="center" vertical="center" wrapText="1"/>
    </xf>
    <xf numFmtId="0" fontId="7" fillId="0" borderId="1" applyAlignment="1" pivotButton="0" quotePrefix="0" xfId="0">
      <alignment horizontal="left" vertical="center" wrapText="1"/>
    </xf>
    <xf numFmtId="0" fontId="7" fillId="3" borderId="1" applyAlignment="1" pivotButton="0" quotePrefix="0" xfId="0">
      <alignment horizontal="left" vertical="center" wrapText="1"/>
    </xf>
    <xf numFmtId="0" fontId="6" fillId="7" borderId="1" applyAlignment="1" pivotButton="0" quotePrefix="0" xfId="0">
      <alignment horizontal="left" vertical="center" wrapText="1"/>
    </xf>
    <xf numFmtId="164" fontId="4" fillId="0" borderId="1" applyAlignment="1" pivotButton="0" quotePrefix="0" xfId="0">
      <alignment horizontal="center" vertical="center" wrapText="1"/>
    </xf>
    <xf numFmtId="164" fontId="4" fillId="6" borderId="1" applyAlignment="1" pivotButton="0" quotePrefix="0" xfId="0">
      <alignment horizontal="center" vertical="center" wrapText="1"/>
    </xf>
    <xf numFmtId="0" fontId="4" fillId="0" borderId="1" applyAlignment="1" pivotButton="0" quotePrefix="0" xfId="0">
      <alignment horizontal="center" vertical="center" wrapText="1"/>
    </xf>
    <xf numFmtId="165"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Sisu</author>
  </authors>
  <commentList>
    <comment ref="B4" authorId="0" shapeId="0">
      <text>
        <t>Change this number. The other three sheets use it for Qty to order.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hyperlink" Target="https://detail.tmall.com/item.htm?id=780681527584" TargetMode="External" Id="rId1" /><Relationship Type="http://schemas.openxmlformats.org/officeDocument/2006/relationships/hyperlink" Target="https://detail.tmall.com/item.htm?id=780681527584" TargetMode="External" Id="rId2" /><Relationship Type="http://schemas.openxmlformats.org/officeDocument/2006/relationships/hyperlink" Target="https://item.taobao.com/item.htm?id=669405263084" TargetMode="External" Id="rId3" /><Relationship Type="http://schemas.openxmlformats.org/officeDocument/2006/relationships/hyperlink" Target="https://item.taobao.com/item.htm?id=669405263084" TargetMode="External" Id="rId4" /><Relationship Type="http://schemas.openxmlformats.org/officeDocument/2006/relationships/hyperlink" Target="https://item.taobao.com/item.htm?id=612992692304" TargetMode="External" Id="rId5" /><Relationship Type="http://schemas.openxmlformats.org/officeDocument/2006/relationships/hyperlink" Target="https://item.taobao.com/item.htm?id=612992692304" TargetMode="External" Id="rId6" /><Relationship Type="http://schemas.openxmlformats.org/officeDocument/2006/relationships/hyperlink" Target="https://item.taobao.com/item.htm?id=612992692304" TargetMode="External" Id="rId7" /><Relationship Type="http://schemas.openxmlformats.org/officeDocument/2006/relationships/hyperlink" Target="https://item.taobao.com/item.htm?id=612992692304" TargetMode="External" Id="rId8" /></Relationships>
</file>

<file path=xl/worksheets/sheet1.xml><?xml version="1.0" encoding="utf-8"?>
<worksheet xmlns="http://schemas.openxmlformats.org/spreadsheetml/2006/main">
  <sheetPr>
    <tabColor rgb="00C65911"/>
    <outlinePr summaryBelow="1" summaryRight="1"/>
    <pageSetUpPr fitToPage="1"/>
  </sheetPr>
  <dimension ref="A1:C27"/>
  <sheetViews>
    <sheetView showGridLines="0" view="normal" zoomScale="130" workbookViewId="0">
      <pane ySplit="3" topLeftCell="A4" activePane="bottomLeft" state="frozen"/>
      <selection pane="bottomLeft" activeCell="A1" sqref="A1"/>
    </sheetView>
  </sheetViews>
  <sheetFormatPr baseColWidth="8" defaultRowHeight="15"/>
  <cols>
    <col width="42" customWidth="1" min="1" max="1"/>
    <col width="62" customWidth="1" min="2" max="2"/>
    <col width="78" customWidth="1" min="3" max="3"/>
  </cols>
  <sheetData>
    <row r="1" ht="28" customHeight="1">
      <c r="A1" s="1" t="inlineStr">
        <is>
          <t>Marine Board enclosure</t>
        </is>
      </c>
    </row>
    <row r="2" ht="32" customHeight="1">
      <c r="A2" s="2" t="inlineStr">
        <is>
          <t>Print, seal, and fit the connectors. Pack every female plug loose and unsoldered. Leave the PCB out.</t>
        </is>
      </c>
    </row>
    <row r="3" ht="22" customHeight="1">
      <c r="A3" s="3" t="inlineStr">
        <is>
          <t>Field</t>
        </is>
      </c>
      <c r="B3" s="3" t="inlineStr">
        <is>
          <t>Value</t>
        </is>
      </c>
      <c r="C3" s="3" t="inlineStr">
        <is>
          <t>Note</t>
        </is>
      </c>
    </row>
    <row r="4" ht="32" customHeight="1">
      <c r="A4" s="4" t="inlineStr">
        <is>
          <t>Enclosure quantity</t>
        </is>
      </c>
      <c r="B4" s="5" t="n">
        <v>5</v>
      </c>
      <c r="C4" s="6" t="inlineStr">
        <is>
          <t>Edit the yellow cell. Printed parts, connectors, and hardware recalculate.</t>
        </is>
      </c>
    </row>
    <row r="5" ht="36" customHeight="1">
      <c r="A5" s="4" t="inlineStr">
        <is>
          <t>PCB order</t>
        </is>
      </c>
      <c r="B5" s="6" t="inlineStr">
        <is>
          <t>T-1P19W831004A</t>
        </is>
      </c>
      <c r="C5" s="6" t="inlineStr">
        <is>
          <t>Five boards. One enclosure per board, unless the quantity above is changed.</t>
        </is>
      </c>
    </row>
    <row r="6" ht="36" customHeight="1">
      <c r="A6" s="4" t="inlineStr">
        <is>
          <t>Replaces</t>
        </is>
      </c>
      <c r="B6" s="6" t="inlineStr">
        <is>
          <t>L-4C13W831004A enclosure</t>
        </is>
      </c>
      <c r="C6" s="6" t="inlineStr">
        <is>
          <t>New box. Do not reuse the earlier enclosure STEP.</t>
        </is>
      </c>
    </row>
    <row r="7" ht="36" customHeight="1">
      <c r="A7" s="4" t="inlineStr">
        <is>
          <t>Closed size</t>
        </is>
      </c>
      <c r="B7" s="6" t="inlineStr">
        <is>
          <t>129.4 × 107.9 × 44.0 mm</t>
        </is>
      </c>
      <c r="C7" s="6" t="inlineStr">
        <is>
          <t>Bottom 129.4 × 107.9 × 40.8 mm, about 121 cm³. Lid 3.2 mm, about 46 cm³.</t>
        </is>
      </c>
    </row>
    <row r="8" ht="36" customHeight="1">
      <c r="A8" s="4" t="inlineStr">
        <is>
          <t>Material</t>
        </is>
      </c>
      <c r="B8" s="6" t="inlineStr">
        <is>
          <t>Nylon PA12, SLS or MJF, then a waterproof seal</t>
        </is>
      </c>
      <c r="C8" s="6" t="inlineStr">
        <is>
          <t>Impregnation or vapor smoothing. Unsealed SLS is porous. Not FDM. Tough solid-wall SLA resin is acceptable.</t>
        </is>
      </c>
    </row>
    <row r="9" ht="36" customHeight="1">
      <c r="A9" s="4" t="inlineStr">
        <is>
          <t>Colour</t>
        </is>
      </c>
      <c r="B9" s="6" t="inlineStr">
        <is>
          <t>Natural or black</t>
        </is>
      </c>
      <c r="C9" s="6" t="inlineStr">
        <is>
          <t>Either is fine. Engraving must stay readable after sealing.</t>
        </is>
      </c>
    </row>
    <row r="11" ht="22" customHeight="1">
      <c r="A11" s="7" t="inlineStr">
        <is>
          <t>Files to attach</t>
        </is>
      </c>
    </row>
    <row r="12" ht="28" customHeight="1">
      <c r="A12" s="8" t="inlineStr">
        <is>
          <t>MarineBoard-enclosure-bottom.step</t>
        </is>
      </c>
      <c r="B12" s="9" t="inlineStr">
        <is>
          <t>Bottom, geometry reference. Opening faces up.</t>
        </is>
      </c>
      <c r="C12" s="10" t="n"/>
    </row>
    <row r="13" ht="28" customHeight="1">
      <c r="A13" s="4" t="inlineStr">
        <is>
          <t>MarineBoard-enclosure-body.stl</t>
        </is>
      </c>
      <c r="B13" s="11" t="inlineStr">
        <is>
          <t>Same bottom, mesh. Print as supplied, opening up.</t>
        </is>
      </c>
      <c r="C13" s="12" t="n"/>
    </row>
    <row r="14" ht="28" customHeight="1">
      <c r="A14" s="8" t="inlineStr">
        <is>
          <t>MarineBoard-enclosure-top.step</t>
        </is>
      </c>
      <c r="B14" s="9" t="inlineStr">
        <is>
          <t>Lid, geometry reference. Lip and light-pipe boss face down in this file.</t>
        </is>
      </c>
      <c r="C14" s="10" t="n"/>
    </row>
    <row r="15" ht="28" customHeight="1">
      <c r="A15" s="4" t="inlineStr">
        <is>
          <t>MarineBoard-enclosure-lid.stl</t>
        </is>
      </c>
      <c r="B15" s="11" t="inlineStr">
        <is>
          <t>Same lid, already rotated for printing. Lip and boss face up. Do not rotate this STL again.</t>
        </is>
      </c>
      <c r="C15" s="12" t="n"/>
    </row>
    <row r="17" ht="22" customHeight="1">
      <c r="A17" s="13" t="inlineStr">
        <is>
          <t>Fit rules</t>
        </is>
      </c>
    </row>
    <row r="18" ht="28" customHeight="1">
      <c r="A18" s="14" t="n">
        <v>1</v>
      </c>
      <c r="B18" s="6" t="inlineStr">
        <is>
          <t>Fit the male half in the wall. Pack the matching female half loose and unsoldered.</t>
        </is>
      </c>
      <c r="C18" s="15" t="n"/>
    </row>
    <row r="19" ht="28" customHeight="1">
      <c r="A19" s="14" t="n">
        <v>2</v>
      </c>
      <c r="B19" s="6" t="inlineStr">
        <is>
          <t>The engraved text above each hole names that hole. Text is upright with the lid at the top and reads left to right in pin order.</t>
        </is>
      </c>
      <c r="C19" s="15" t="n"/>
    </row>
    <row r="20" ht="28" customHeight="1">
      <c r="A20" s="14" t="n">
        <v>3</v>
      </c>
      <c r="B20" s="6" t="inlineStr">
        <is>
          <t>Do not install the PCB, and do not solder any wire. Pack the four M3×6 screws loose.</t>
        </is>
      </c>
      <c r="C20" s="15" t="n"/>
    </row>
    <row r="21" ht="28" customHeight="1">
      <c r="A21" s="14" t="n">
        <v>4</v>
      </c>
      <c r="B21" s="6" t="inlineStr">
        <is>
          <t>Do not drill a hole that is not in the STEP. The M12 is a round hole only; ask before adding a flange bolt circle.</t>
        </is>
      </c>
      <c r="C21" s="15" t="n"/>
    </row>
    <row r="22" ht="28" customHeight="1">
      <c r="A22" s="14" t="n">
        <v>5</v>
      </c>
      <c r="B22" s="6" t="inlineStr">
        <is>
          <t>East holes are 20 mm apart. Ask before enlarging a hole if two nuts would overlap.</t>
        </is>
      </c>
      <c r="C22" s="15" t="n"/>
    </row>
    <row r="23" ht="28" customHeight="1">
      <c r="A23" s="14" t="n">
        <v>6</v>
      </c>
      <c r="B23" s="6" t="inlineStr">
        <is>
          <t>The LP20 body extends inward past the south gutter. Leave that hole where it is.</t>
        </is>
      </c>
      <c r="C23" s="15" t="n"/>
    </row>
    <row r="24" ht="28" customHeight="1">
      <c r="A24" s="14" t="n">
        <v>7</v>
      </c>
      <c r="B24" s="6" t="inlineStr">
        <is>
          <t>There is no USB hole. The north wall has no connector.</t>
        </is>
      </c>
      <c r="C24" s="15" t="n"/>
    </row>
    <row r="25" ht="28" customHeight="1">
      <c r="A25" s="14" t="n">
        <v>8</v>
      </c>
      <c r="B25" s="6" t="inlineStr">
        <is>
          <t>Press the Ø2.0 mm silicone cord into the groove on the top rim of the bottom. Cut about 380 mm from the 500 mm supplied.</t>
        </is>
      </c>
      <c r="C25" s="15" t="n"/>
    </row>
    <row r="26" ht="28" customHeight="1">
      <c r="A26" s="14" t="n">
        <v>9</v>
      </c>
      <c r="B26" s="6" t="inlineStr">
        <is>
          <t>Light pipe: Ø5.0 × 25 mm clear rod, outer end flush with the lid, sealed with clear neutral-cure silicone in the Ø10 × 1.4 mm well.</t>
        </is>
      </c>
      <c r="C26" s="15" t="n"/>
    </row>
    <row r="27" ht="28" customHeight="1">
      <c r="A27" s="14" t="n">
        <v>10</v>
      </c>
      <c r="B27" s="6" t="inlineStr">
        <is>
          <t>Screw the lid on with four M3×10 stainless self-tapping pan-head screws.</t>
        </is>
      </c>
      <c r="C27" s="15" t="n"/>
    </row>
  </sheetData>
  <mergeCells count="18">
    <mergeCell ref="B13:C13"/>
    <mergeCell ref="B21:C21"/>
    <mergeCell ref="B24:C24"/>
    <mergeCell ref="A11:C11"/>
    <mergeCell ref="B15:C15"/>
    <mergeCell ref="A1:C1"/>
    <mergeCell ref="B25:C25"/>
    <mergeCell ref="B19:C19"/>
    <mergeCell ref="B20:C20"/>
    <mergeCell ref="B27:C27"/>
    <mergeCell ref="A17:C17"/>
    <mergeCell ref="B23:C23"/>
    <mergeCell ref="B22:C22"/>
    <mergeCell ref="B14:C14"/>
    <mergeCell ref="B26:C26"/>
    <mergeCell ref="B18:C18"/>
    <mergeCell ref="A2:C2"/>
    <mergeCell ref="B12:C12"/>
  </mergeCells>
  <dataValidations count="1">
    <dataValidation sqref="B4" showDropDown="0" showInputMessage="0" showErrorMessage="0" allowBlank="0" errorTitle="Quantity" error="Enter a whole number of enclosures, 1 or more." promptTitle="Quantity" prompt="Number of enclosures" type="whole" operator="greaterThanOrEqual">
      <formula1>1</formula1>
    </dataValidation>
  </dataValidations>
  <pageMargins left="0.75" right="0.75" top="1" bottom="1" header="0.5" footer="0.5"/>
  <pageSetup orientation="landscape" paperSize="9" fitToHeight="1" fitToWidth="1"/>
  <headerFooter>
    <oddHeader/>
    <oddFooter>&amp;LMarine Board enclosure&amp;RPage &amp;P of &amp;N</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tabColor rgb="001F4E79"/>
    <outlinePr summaryBelow="1" summaryRight="1"/>
    <pageSetUpPr fitToPage="1"/>
  </sheetPr>
  <dimension ref="A1:D6"/>
  <sheetViews>
    <sheetView showGridLines="0" zoomScale="120" workbookViewId="0">
      <pane ySplit="4" topLeftCell="A5" activePane="bottomLeft" state="frozen"/>
      <selection pane="bottomLeft" activeCell="A1" sqref="A1"/>
    </sheetView>
  </sheetViews>
  <sheetFormatPr baseColWidth="8" defaultRowHeight="15"/>
  <cols>
    <col width="20" customWidth="1" min="1" max="1"/>
    <col width="16" customWidth="1" min="2" max="2"/>
    <col width="18" customWidth="1" min="3" max="3"/>
    <col width="110" customWidth="1" min="4" max="4"/>
  </cols>
  <sheetData>
    <row r="1" ht="26" customHeight="1">
      <c r="A1" s="16" t="inlineStr">
        <is>
          <t>Printed parts</t>
        </is>
      </c>
    </row>
    <row r="2" ht="32" customHeight="1">
      <c r="A2" s="17" t="inlineStr">
        <is>
          <t>One bottom and one lid per enclosure. Qty to order follows the yellow quantity on the Order sheet.</t>
        </is>
      </c>
    </row>
    <row r="4" ht="30" customHeight="1">
      <c r="A4" s="3" t="inlineStr">
        <is>
          <t>Qty per enclosure</t>
        </is>
      </c>
      <c r="B4" s="3" t="inlineStr">
        <is>
          <t>Qty to order</t>
        </is>
      </c>
      <c r="C4" s="3" t="inlineStr">
        <is>
          <t>Part</t>
        </is>
      </c>
      <c r="D4" s="3" t="inlineStr">
        <is>
          <t>Notes</t>
        </is>
      </c>
    </row>
    <row r="5" ht="72" customHeight="1">
      <c r="A5" s="18" t="n">
        <v>1</v>
      </c>
      <c r="B5" s="19">
        <f>Order!$B$4*A5</f>
        <v/>
      </c>
      <c r="C5" s="20" t="inlineStr">
        <is>
          <t>Bottom</t>
        </is>
      </c>
      <c r="D5" s="6" t="inlineStr">
        <is>
          <t>STEP MarineBoard-enclosure-bottom.step. STL MarineBoard-enclosure-body.stl. Print opening up. 129.4 × 107.9 × 40.8 mm, about 121 cm³. Four blind M3 bosses, silicone-cord groove on the top rim, six connector holes.</t>
        </is>
      </c>
    </row>
    <row r="6" ht="72" customHeight="1">
      <c r="A6" s="21" t="n">
        <v>1</v>
      </c>
      <c r="B6" s="19">
        <f>Order!$B$4*A6</f>
        <v/>
      </c>
      <c r="C6" s="4" t="inlineStr">
        <is>
          <t>Lid</t>
        </is>
      </c>
      <c r="D6" s="11" t="inlineStr">
        <is>
          <t>STEP MarineBoard-enclosure-top.step. STL MarineBoard-enclosure-lid.stl is already rotated so the sealing lip and the light-pipe boss face up. Print that STL as supplied. 3.2 mm thick, about 46 cm³. Four countersunk corner holes and one light-pipe bore.</t>
        </is>
      </c>
    </row>
  </sheetData>
  <autoFilter ref="A4:D6"/>
  <mergeCells count="2">
    <mergeCell ref="A1:D1"/>
    <mergeCell ref="A2:D2"/>
  </mergeCells>
  <pageMargins left="0.75" right="0.75" top="1" bottom="1" header="0.5" footer="0.5"/>
  <pageSetup orientation="landscape" paperSize="9" fitToHeight="1" fitToWidth="1"/>
  <headerFooter>
    <oddHeader>&amp;LMarine Board enclosure</oddHeader>
    <oddFooter>&amp;LPCBWay  |  one enclosure per board on T-1P19W831004A&amp;RPage &amp;P of &amp;N</oddFooter>
    <evenHeader/>
    <evenFooter/>
    <firstHeader/>
    <firstFooter/>
  </headerFooter>
</worksheet>
</file>

<file path=xl/worksheets/sheet3.xml><?xml version="1.0" encoding="utf-8"?>
<worksheet xmlns="http://schemas.openxmlformats.org/spreadsheetml/2006/main">
  <sheetPr>
    <tabColor rgb="001F4E79"/>
    <outlinePr summaryBelow="1" summaryRight="1"/>
    <pageSetUpPr fitToPage="1"/>
  </sheetPr>
  <dimension ref="A1:G12"/>
  <sheetViews>
    <sheetView showGridLines="0" zoomScale="120" workbookViewId="0">
      <pane ySplit="4" topLeftCell="A5" activePane="bottomLeft" state="frozen"/>
      <selection pane="bottomLeft" activeCell="A1" sqref="A1"/>
    </sheetView>
  </sheetViews>
  <sheetFormatPr baseColWidth="8" defaultRowHeight="15"/>
  <cols>
    <col width="20" customWidth="1" min="1" max="1"/>
    <col width="16" customWidth="1" min="2" max="2"/>
    <col width="52" customWidth="1" min="3" max="3"/>
    <col width="48" customWidth="1" min="4" max="4"/>
    <col width="42" customWidth="1" min="5" max="5"/>
    <col width="46" customWidth="1" min="6" max="6"/>
    <col width="48" customWidth="1" min="7" max="7"/>
  </cols>
  <sheetData>
    <row r="1" ht="26" customHeight="1">
      <c r="A1" s="16" t="inlineStr">
        <is>
          <t>Connectors</t>
        </is>
      </c>
    </row>
    <row r="2" ht="32" customHeight="1">
      <c r="A2" s="17" t="inlineStr">
        <is>
          <t>Fit the male half in the engraved hole. Pack the female half loose and unsoldered. Do not wire anything.</t>
        </is>
      </c>
    </row>
    <row r="4" ht="30" customHeight="1">
      <c r="A4" s="3" t="inlineStr">
        <is>
          <t>Qty per enclosure</t>
        </is>
      </c>
      <c r="B4" s="3" t="inlineStr">
        <is>
          <t>Qty to order</t>
        </is>
      </c>
      <c r="C4" s="3" t="inlineStr">
        <is>
          <t>Part</t>
        </is>
      </c>
      <c r="D4" s="3" t="inlineStr">
        <is>
          <t>Where it goes</t>
        </is>
      </c>
      <c r="E4" s="3" t="inlineStr">
        <is>
          <t>Engraving</t>
        </is>
      </c>
      <c r="F4" s="3" t="inlineStr">
        <is>
          <t>Link</t>
        </is>
      </c>
      <c r="G4" s="3" t="inlineStr">
        <is>
          <t>Note</t>
        </is>
      </c>
    </row>
    <row r="5" ht="62" customHeight="1">
      <c r="A5" s="18" t="n">
        <v>1</v>
      </c>
      <c r="B5" s="19">
        <f>Order!$B$4*A5</f>
        <v/>
      </c>
      <c r="C5" s="6" t="inlineStr">
        <is>
          <t>EW-LP20, 3-pin, front-mount panel, wire-locking, male</t>
        </is>
      </c>
      <c r="D5" s="6" t="inlineStr">
        <is>
          <t>South wall, the large hole (Ø22.7 mm in the model; datasheet cutout 22.5 mm +0.2).</t>
        </is>
      </c>
      <c r="E5" s="6" t="inlineStr">
        <is>
          <t>GND/+12V/PWM</t>
        </is>
      </c>
      <c r="F5" s="22" t="inlineStr">
        <is>
          <t>https://detail.tmall.com/item.htm?id=780681527584</t>
        </is>
      </c>
      <c r="G5" s="6" t="inlineStr">
        <is>
          <t>Fit this male half. The body extends inward past the gutter. Do not move the hole.</t>
        </is>
      </c>
    </row>
    <row r="6" ht="62" customHeight="1">
      <c r="A6" s="18" t="n">
        <v>1</v>
      </c>
      <c r="B6" s="19">
        <f>Order!$B$4*A6</f>
        <v/>
      </c>
      <c r="C6" s="11" t="inlineStr">
        <is>
          <t>EW-LP20, matching 3-pin female cable plug</t>
        </is>
      </c>
      <c r="D6" s="11" t="inlineStr">
        <is>
          <t>Pack loose. Do not solder.</t>
        </is>
      </c>
      <c r="E6" s="11" t="inlineStr">
        <is>
          <t>—</t>
        </is>
      </c>
      <c r="F6" s="23" t="inlineStr">
        <is>
          <t>https://detail.tmall.com/item.htm?id=780681527584</t>
        </is>
      </c>
      <c r="G6" s="11" t="inlineStr">
        <is>
          <t>One mating plug per fitted LP20.</t>
        </is>
      </c>
    </row>
    <row r="7" ht="62" customHeight="1">
      <c r="A7" s="18" t="n">
        <v>1</v>
      </c>
      <c r="B7" s="19">
        <f>Order!$B$4*A7</f>
        <v/>
      </c>
      <c r="C7" s="24" t="inlineStr">
        <is>
          <t>M12, 5-pin, rose red, rear-mount flange, MALE socket, 12 mm hole</t>
        </is>
      </c>
      <c r="D7" s="6" t="inlineStr">
        <is>
          <t>East wall, the hole nearest the empty north corner. Model hole Ø12.4 mm.</t>
        </is>
      </c>
      <c r="E7" s="6" t="inlineStr">
        <is>
          <t>CAN</t>
        </is>
      </c>
      <c r="F7" s="22" t="inlineStr">
        <is>
          <t>https://item.taobao.com/item.htm?id=669405263084</t>
        </is>
      </c>
      <c r="G7" s="24" t="inlineStr">
        <is>
          <t>The link is the female flange. Order the male flange from the same series. The model is a round hole only. Ask before drilling a bolt circle.</t>
        </is>
      </c>
    </row>
    <row r="8" ht="62" customHeight="1">
      <c r="A8" s="18" t="n">
        <v>1</v>
      </c>
      <c r="B8" s="19">
        <f>Order!$B$4*A8</f>
        <v/>
      </c>
      <c r="C8" s="11" t="inlineStr">
        <is>
          <t>M12, matching 5-pin female plug</t>
        </is>
      </c>
      <c r="D8" s="11" t="inlineStr">
        <is>
          <t>Pack loose. Do not solder.</t>
        </is>
      </c>
      <c r="E8" s="11" t="inlineStr">
        <is>
          <t>—</t>
        </is>
      </c>
      <c r="F8" s="23" t="inlineStr">
        <is>
          <t>https://item.taobao.com/item.htm?id=669405263084</t>
        </is>
      </c>
      <c r="G8" s="11" t="inlineStr">
        <is>
          <t>One mating plug per fitted male socket.</t>
        </is>
      </c>
    </row>
    <row r="9" ht="62" customHeight="1">
      <c r="A9" s="18" t="n">
        <v>3</v>
      </c>
      <c r="B9" s="19">
        <f>Order!$B$4*A9</f>
        <v/>
      </c>
      <c r="C9" s="24" t="inlineStr">
        <is>
          <t>12G, IP67, 3-pin male panel socket, 12 mm hole</t>
        </is>
      </c>
      <c r="D9" s="6" t="inlineStr">
        <is>
          <t>Three holes, all Ø12.4 mm. West wall. South wall, the smaller hole. East wall, the southern hole of the three.</t>
        </is>
      </c>
      <c r="E9" s="6" t="inlineStr">
        <is>
          <t>TMP/RPM/ENBL    ·    NO/CO/NC    ·    LVL2/+12V/LVL1</t>
        </is>
      </c>
      <c r="F9" s="22" t="inlineStr">
        <is>
          <t>https://item.taobao.com/item.htm?id=612992692304</t>
        </is>
      </c>
      <c r="G9" s="24" t="inlineStr">
        <is>
          <t>Confirm the 3-pin SKU. The old purchase sheet used the same SKU for the 2-pin and the 3-pin. East holes are 20 mm apart. Ask before enlarging a hole.</t>
        </is>
      </c>
    </row>
    <row r="10" ht="62" customHeight="1">
      <c r="A10" s="18" t="n">
        <v>3</v>
      </c>
      <c r="B10" s="19">
        <f>Order!$B$4*A10</f>
        <v/>
      </c>
      <c r="C10" s="11" t="inlineStr">
        <is>
          <t>12G, IP67, 3-pin female plug</t>
        </is>
      </c>
      <c r="D10" s="11" t="inlineStr">
        <is>
          <t>Pack loose. Do not solder. Three plugs per enclosure.</t>
        </is>
      </c>
      <c r="E10" s="11" t="inlineStr">
        <is>
          <t>—</t>
        </is>
      </c>
      <c r="F10" s="23" t="inlineStr">
        <is>
          <t>https://item.taobao.com/item.htm?id=612992692304</t>
        </is>
      </c>
      <c r="G10" s="11" t="inlineStr">
        <is>
          <t>One female plug for each fitted 3-pin male socket.</t>
        </is>
      </c>
    </row>
    <row r="11" ht="62" customHeight="1">
      <c r="A11" s="18" t="n">
        <v>1</v>
      </c>
      <c r="B11" s="19">
        <f>Order!$B$4*A11</f>
        <v/>
      </c>
      <c r="C11" s="6" t="inlineStr">
        <is>
          <t>12G, IP67, 2-pin male panel socket, 12 mm hole</t>
        </is>
      </c>
      <c r="D11" s="6" t="inlineStr">
        <is>
          <t>East wall, the middle of the three Ø12.4 mm holes.</t>
        </is>
      </c>
      <c r="E11" s="6" t="inlineStr">
        <is>
          <t>SH-/SH+</t>
        </is>
      </c>
      <c r="F11" s="22" t="inlineStr">
        <is>
          <t>https://item.taobao.com/item.htm?id=612992692304</t>
        </is>
      </c>
      <c r="G11" s="6" t="inlineStr">
        <is>
          <t>Confirm the 2-pin SKU on the same listing.</t>
        </is>
      </c>
    </row>
    <row r="12" ht="62" customHeight="1">
      <c r="A12" s="18" t="n">
        <v>1</v>
      </c>
      <c r="B12" s="19">
        <f>Order!$B$4*A12</f>
        <v/>
      </c>
      <c r="C12" s="11" t="inlineStr">
        <is>
          <t>12G, IP67, 2-pin female plug</t>
        </is>
      </c>
      <c r="D12" s="11" t="inlineStr">
        <is>
          <t>Pack loose. Do not solder.</t>
        </is>
      </c>
      <c r="E12" s="11" t="inlineStr">
        <is>
          <t>—</t>
        </is>
      </c>
      <c r="F12" s="23" t="inlineStr">
        <is>
          <t>https://item.taobao.com/item.htm?id=612992692304</t>
        </is>
      </c>
      <c r="G12" s="11" t="inlineStr">
        <is>
          <t>One mating plug per fitted 2-pin male socket.</t>
        </is>
      </c>
    </row>
  </sheetData>
  <autoFilter ref="A4:G12"/>
  <mergeCells count="2">
    <mergeCell ref="A2:G2"/>
    <mergeCell ref="A1:G1"/>
  </mergeCells>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s>
  <pageMargins left="0.75" right="0.75" top="1" bottom="1" header="0.5" footer="0.5"/>
  <pageSetup orientation="landscape" paperSize="9" fitToHeight="1" fitToWidth="1"/>
  <headerFooter>
    <oddHeader>&amp;LMarine Board enclosure</oddHeader>
    <oddFooter>&amp;LPCBWay  |  one enclosure per board on T-1P19W831004A&amp;RPage &amp;P of &amp;N</oddFooter>
    <evenHeader/>
    <evenFooter/>
    <firstHeader/>
    <firstFooter/>
  </headerFooter>
</worksheet>
</file>

<file path=xl/worksheets/sheet4.xml><?xml version="1.0" encoding="utf-8"?>
<worksheet xmlns="http://schemas.openxmlformats.org/spreadsheetml/2006/main">
  <sheetPr>
    <tabColor rgb="001F4E79"/>
    <outlinePr summaryBelow="1" summaryRight="1"/>
    <pageSetUpPr fitToPage="1"/>
  </sheetPr>
  <dimension ref="A1:D9"/>
  <sheetViews>
    <sheetView showGridLines="0" zoomScale="120" workbookViewId="0">
      <pane ySplit="4" topLeftCell="A5" activePane="bottomLeft" state="frozen"/>
      <selection pane="bottomLeft" activeCell="A1" sqref="A1"/>
    </sheetView>
  </sheetViews>
  <sheetFormatPr baseColWidth="8" defaultRowHeight="15"/>
  <cols>
    <col width="22" customWidth="1" min="1" max="1"/>
    <col width="18" customWidth="1" min="2" max="2"/>
    <col width="56" customWidth="1" min="3" max="3"/>
    <col width="88" customWidth="1" min="4" max="4"/>
  </cols>
  <sheetData>
    <row r="1" ht="26" customHeight="1">
      <c r="A1" s="16" t="inlineStr">
        <is>
          <t>Hardware</t>
        </is>
      </c>
    </row>
    <row r="2" ht="32" customHeight="1">
      <c r="A2" s="17" t="inlineStr">
        <is>
          <t>Screws, cord, light pipe, and sealant. The lid screws are fitted. The board screws stay in the bag.</t>
        </is>
      </c>
    </row>
    <row r="4" ht="30" customHeight="1">
      <c r="A4" s="3" t="inlineStr">
        <is>
          <t>Qty per enclosure</t>
        </is>
      </c>
      <c r="B4" s="3" t="inlineStr">
        <is>
          <t>Qty to order</t>
        </is>
      </c>
      <c r="C4" s="3" t="inlineStr">
        <is>
          <t>Part</t>
        </is>
      </c>
      <c r="D4" s="3" t="inlineStr">
        <is>
          <t>Use</t>
        </is>
      </c>
    </row>
    <row r="5" ht="58" customHeight="1">
      <c r="A5" s="18" t="n">
        <v>4</v>
      </c>
      <c r="B5" s="19">
        <f>Order!$B$4*A5</f>
        <v/>
      </c>
      <c r="C5" s="20" t="inlineStr">
        <is>
          <t>M3×10 stainless self-tapping pan head</t>
        </is>
      </c>
      <c r="D5" s="6" t="inlineStr">
        <is>
          <t>Fit the lid. Four screws. The pilot is Ø2.6 mm and 9 mm deep. A longer screw bottoms out.</t>
        </is>
      </c>
    </row>
    <row r="6" ht="58" customHeight="1">
      <c r="A6" s="18" t="n">
        <v>4</v>
      </c>
      <c r="B6" s="19">
        <f>Order!$B$4*A6</f>
        <v/>
      </c>
      <c r="C6" s="20" t="inlineStr">
        <is>
          <t>M3×6 stainless self-tapping pan head</t>
        </is>
      </c>
      <c r="D6" s="6" t="inlineStr">
        <is>
          <t>Pack loose for the PCB. Four screws. The boss pilot is Ø2.7 mm and 5 mm deep. Do not fit a board.</t>
        </is>
      </c>
    </row>
    <row r="7" ht="58" customHeight="1">
      <c r="A7" s="25" t="n">
        <v>500</v>
      </c>
      <c r="B7" s="26">
        <f>Order!$B$4*A7</f>
        <v/>
      </c>
      <c r="C7" s="20" t="inlineStr">
        <is>
          <t>Silicone cord, Ø2.0 mm round, length in millimetres</t>
        </is>
      </c>
      <c r="D7" s="6" t="inlineStr">
        <is>
          <t>Press one loop into the groove on the top rim of the bottom. The groove is about 360 mm. Cut about 380 mm from the 500 mm supplied. Do not stretch the cord.</t>
        </is>
      </c>
    </row>
    <row r="8" ht="58" customHeight="1">
      <c r="A8" s="18" t="n">
        <v>1</v>
      </c>
      <c r="B8" s="19">
        <f>Order!$B$4*A8</f>
        <v/>
      </c>
      <c r="C8" s="20" t="inlineStr">
        <is>
          <t>Clear acrylic or polycarbonate rod, Ø5.0 mm × 25 mm</t>
        </is>
      </c>
      <c r="D8" s="6" t="inlineStr">
        <is>
          <t>Light pipe. Fit from the outside of the lid until the outer end is flush. Bore Ø5.2 mm, glue well Ø10 × 1.4 mm. The 25 mm length stops short of the LED once the board is fitted.</t>
        </is>
      </c>
    </row>
    <row r="9" ht="58" customHeight="1">
      <c r="A9" s="27" t="inlineStr">
        <is>
          <t>—</t>
        </is>
      </c>
      <c r="B9" s="28" t="n">
        <v>1</v>
      </c>
      <c r="C9" s="20" t="inlineStr">
        <is>
          <t>Clear neutral-cure silicone, one tube for the whole batch</t>
        </is>
      </c>
      <c r="D9" s="6" t="inlineStr">
        <is>
          <t>Seal the light pipe in the glue well. One tube covers this order. This line does not multiply by the enclosure quantity.</t>
        </is>
      </c>
    </row>
  </sheetData>
  <autoFilter ref="A4:D9"/>
  <mergeCells count="2">
    <mergeCell ref="A1:D1"/>
    <mergeCell ref="A2:D2"/>
  </mergeCells>
  <pageMargins left="0.75" right="0.75" top="1" bottom="1" header="0.5" footer="0.5"/>
  <pageSetup orientation="landscape" paperSize="9" fitToHeight="1" fitToWidth="1"/>
  <headerFooter>
    <oddHeader>&amp;LMarine Board enclosure</oddHeader>
    <oddFooter>&amp;LPCBWay  |  one enclosure per board on T-1P19W831004A&amp;RPage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Sisu Marine Board</dc:creator>
  <dc:title>Marine Board enclosure — PCBWay BOM</dc:title>
  <dc:subject>Enclosure print and connector fit for T-1P19W831004A</dc:subject>
  <dcterms:created xsi:type="dcterms:W3CDTF">2026-10-09T21:47:20Z</dcterms:created>
  <dcterms:modified xsi:type="dcterms:W3CDTF">2026-10-09T21:47:20Z</dcterms:modified>
</cp:coreProperties>
</file>