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4层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<sst xmlns="http://schemas.openxmlformats.org/spreadsheetml/2006/main" count="151" uniqueCount="140">
  <si>
    <r>
      <rPr>
        <b/>
        <sz val="18"/>
        <color theme="1"/>
        <rFont val="Arial"/>
        <charset val="134"/>
      </rPr>
      <t xml:space="preserve">PCB Manufacturing Process Specification                                                                               PCB </t>
    </r>
    <r>
      <rPr>
        <b/>
        <sz val="18"/>
        <color theme="1"/>
        <rFont val="宋体"/>
        <charset val="134"/>
      </rPr>
      <t>加工工艺说明书</t>
    </r>
  </si>
  <si>
    <r>
      <rPr>
        <sz val="10"/>
        <color theme="1"/>
        <rFont val="Arial"/>
        <charset val="134"/>
      </rPr>
      <t>File Name</t>
    </r>
    <r>
      <rPr>
        <sz val="11"/>
        <color theme="1"/>
        <rFont val="宋体"/>
        <charset val="134"/>
      </rPr>
      <t>：</t>
    </r>
    <r>
      <rPr>
        <sz val="11"/>
        <color theme="1"/>
        <rFont val="Arial"/>
        <charset val="13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theme="1"/>
        <rFont val="宋体"/>
        <charset val="134"/>
      </rPr>
      <t>项目名称</t>
    </r>
  </si>
  <si>
    <r>
      <rPr>
        <b/>
        <sz val="11"/>
        <color theme="1"/>
        <rFont val="Arial"/>
        <charset val="134"/>
      </rPr>
      <t>1. General Manufacturing Information</t>
    </r>
    <r>
      <rPr>
        <b/>
        <sz val="11"/>
        <color theme="1"/>
        <rFont val="宋体"/>
        <charset val="134"/>
      </rPr>
      <t>（基本工艺信息）</t>
    </r>
  </si>
  <si>
    <r>
      <rPr>
        <sz val="10"/>
        <color theme="1"/>
        <rFont val="Arial"/>
        <charset val="134"/>
      </rPr>
      <t xml:space="preserve">Layers                                             </t>
    </r>
    <r>
      <rPr>
        <sz val="10"/>
        <color theme="1"/>
        <rFont val="宋体"/>
        <charset val="134"/>
      </rPr>
      <t>层数</t>
    </r>
  </si>
  <si>
    <t>4 layer (4层）</t>
  </si>
  <si>
    <r>
      <rPr>
        <sz val="10"/>
        <color theme="1"/>
        <rFont val="Arial"/>
        <charset val="134"/>
      </rPr>
      <t>PCB Material                PCB</t>
    </r>
    <r>
      <rPr>
        <sz val="10"/>
        <color theme="1"/>
        <rFont val="宋体"/>
        <charset val="134"/>
      </rPr>
      <t>材料</t>
    </r>
  </si>
  <si>
    <t>FR4</t>
  </si>
  <si>
    <t>叠层顺序</t>
  </si>
  <si>
    <r>
      <rPr>
        <sz val="10"/>
        <color theme="1"/>
        <rFont val="Arial"/>
        <charset val="134"/>
      </rPr>
      <t xml:space="preserve">Finished Board Thickness(mm)         </t>
    </r>
    <r>
      <rPr>
        <sz val="10"/>
        <color theme="1"/>
        <rFont val="宋体"/>
        <charset val="134"/>
      </rPr>
      <t>成品板厚</t>
    </r>
  </si>
  <si>
    <t>1.6mm</t>
  </si>
  <si>
    <r>
      <rPr>
        <sz val="10"/>
        <color theme="1"/>
        <rFont val="Arial"/>
        <charset val="134"/>
      </rPr>
      <t>Board Thickness Tolerance</t>
    </r>
    <r>
      <rPr>
        <sz val="10"/>
        <color theme="1"/>
        <rFont val="宋体"/>
        <charset val="134"/>
      </rPr>
      <t>板厚公差</t>
    </r>
  </si>
  <si>
    <t>±10%</t>
  </si>
  <si>
    <t>提取结果</t>
  </si>
  <si>
    <t>4层</t>
  </si>
  <si>
    <t>6层</t>
  </si>
  <si>
    <t>8层</t>
  </si>
  <si>
    <t>10层</t>
  </si>
  <si>
    <t>12层</t>
  </si>
  <si>
    <t>14层</t>
  </si>
  <si>
    <t>16层</t>
  </si>
  <si>
    <t>18层</t>
  </si>
  <si>
    <t>20层</t>
  </si>
  <si>
    <t>22层</t>
  </si>
  <si>
    <t>24层</t>
  </si>
  <si>
    <t>26层</t>
  </si>
  <si>
    <t>28层</t>
  </si>
  <si>
    <t>30层</t>
  </si>
  <si>
    <t>32层</t>
  </si>
  <si>
    <t>34层</t>
  </si>
  <si>
    <t>36层</t>
  </si>
  <si>
    <r>
      <rPr>
        <sz val="10"/>
        <color theme="1"/>
        <rFont val="Arial"/>
        <charset val="134"/>
      </rPr>
      <t xml:space="preserve">Finished Board Size(mm)                 </t>
    </r>
    <r>
      <rPr>
        <sz val="10"/>
        <color theme="1"/>
        <rFont val="宋体"/>
        <charset val="134"/>
      </rPr>
      <t>成品尺寸</t>
    </r>
  </si>
  <si>
    <t>66.5*70mm</t>
  </si>
  <si>
    <r>
      <rPr>
        <sz val="10"/>
        <color theme="1"/>
        <rFont val="Arial"/>
        <charset val="134"/>
      </rPr>
      <t xml:space="preserve">Dimensional Tolerance     </t>
    </r>
    <r>
      <rPr>
        <sz val="10"/>
        <color theme="1"/>
        <rFont val="宋体"/>
        <charset val="134"/>
      </rPr>
      <t>尺寸公差</t>
    </r>
  </si>
  <si>
    <r>
      <rPr>
        <sz val="10"/>
        <color theme="1"/>
        <rFont val="Arial"/>
        <charset val="134"/>
      </rPr>
      <t>±0.15</t>
    </r>
    <r>
      <rPr>
        <sz val="10"/>
        <color theme="1"/>
        <rFont val="宋体"/>
        <charset val="134"/>
      </rPr>
      <t>（常规）</t>
    </r>
  </si>
  <si>
    <t>TOP-G2-P3-BOT（内0S）</t>
  </si>
  <si>
    <t>TOP-G2-S3-P4-G5-BOT（内1S）</t>
  </si>
  <si>
    <t>TOP-G2-S3-G4-P5-S6-G7-BOT（内2S）</t>
  </si>
  <si>
    <t>TOP-G2-S3-G4-S5-P6-G7-S8-G9-BOT（内3S）</t>
  </si>
  <si>
    <t>TOP-G2-S3-G4-S5-G6-P7-S8-G9-S10-G11-BOT（内4S）</t>
  </si>
  <si>
    <t>TOP-G2-S3-G4-S5-G6-S7-P8-G9-S10-G11-S12-G13-BOT（内5S）</t>
  </si>
  <si>
    <t>TOP-G2-S3-G4-S5-G6-S7-G8-P9-S10-G11-S12-G13-S14-G15-BOT（内6S）</t>
  </si>
  <si>
    <t>TOP-G2-S3-G4-S5-G6-S7-G8-S9-P10-G11-S12-G13-S14-G15-S16-G17-BOT（内7S）</t>
  </si>
  <si>
    <t>TOP-G2-S3-G4-S5-G6-S7-G8-S9-G10-P11-S12-G13-S14-G15-S16-G17-S18-G19-BOT（内8S）</t>
  </si>
  <si>
    <t>TOP-G2-S3-G4-S5-G6-S7-G8-S9-G10-S11-P12-G13-S14-G15-S16-G17-S18-G19-S20-G21-BOT（内9S）</t>
  </si>
  <si>
    <t>TOP-G2-S3-G4-S5-G6-S7-G8-S9-G10-S11-G12-P13-S14-G15-S16-G17-S18-G19-S20-G21-S22-G23-BOT（内10S）</t>
  </si>
  <si>
    <t>TOP-G2-S3-G4-S5-G6-S7-G8-S9-G10-S11-G12-S13-P14-G15-S16-G17-S18-G19-S20-G21-S22-G23-S24-G25-BOT（内11S）</t>
  </si>
  <si>
    <t>TOP-G2-S3-G4-S5-G6-S7-G8-S9-G10-S11-G12-S13-G14-P15-S16-G17-S18-G19-S20-G21-S22-G23-S24-G25-S26-G27-BOT（内12S）</t>
  </si>
  <si>
    <t>TOP-G2-S3-G4-S5-G6-S7-G8-S9-G10-S11-G12-S13-G14-S15-P16-G17-S18-G19-S20-G21-S22-G23-S24-G25-S26-G27-S28-G29-BOT（内13S）</t>
  </si>
  <si>
    <t>TOP-G2-S3-G4-S5-G6-S7-G8-S9-G10-S11-G12-S13-G14-S15-G16-P17-S18-G19-S20-G21-S22-G23-S24-G25-S26-G27-S28-G29-S30-G31-BOT（内14S）</t>
  </si>
  <si>
    <t>TOP-G2-S3-G4-S5-G6-S7-G8-S9-G10-S11-G12-S13-G14-S15-G16-S17-P18-G19-S20-G21-S22-G23-S24-G25-S26-G27-S28-G29-S30-G31-S32-G33-BOT（内15S）</t>
  </si>
  <si>
    <t>TOP-G2-S3-G4-S5-G6-S7-G8-S9-G10-S11-G12-S13-G14-S15-G16-S17-G18-P19-S20-G21-S22-G23-S24-G25-S26-G27-S28-G29-S30-G31-S32-G33-S34-G35-BOT（内16S）</t>
  </si>
  <si>
    <r>
      <rPr>
        <sz val="10"/>
        <color theme="1"/>
        <rFont val="Arial"/>
        <charset val="134"/>
      </rPr>
      <t xml:space="preserve">PCB Type                                       </t>
    </r>
    <r>
      <rPr>
        <sz val="10"/>
        <color theme="1"/>
        <rFont val="宋体"/>
        <charset val="134"/>
      </rPr>
      <t>板子类型</t>
    </r>
  </si>
  <si>
    <t>Rigid PCB (刚性板)</t>
  </si>
  <si>
    <r>
      <rPr>
        <sz val="10"/>
        <color theme="1"/>
        <rFont val="Arial"/>
        <charset val="134"/>
      </rPr>
      <t xml:space="preserve">Paneling Method              </t>
    </r>
    <r>
      <rPr>
        <sz val="10"/>
        <color theme="1"/>
        <rFont val="宋体"/>
        <charset val="134"/>
      </rPr>
      <t>拼版方式</t>
    </r>
  </si>
  <si>
    <r>
      <rPr>
        <sz val="10"/>
        <color theme="1"/>
        <rFont val="Arial"/>
        <charset val="134"/>
      </rPr>
      <t>Single Board Delivery</t>
    </r>
    <r>
      <rPr>
        <sz val="10"/>
        <color theme="1"/>
        <rFont val="宋体"/>
        <charset val="134"/>
      </rPr>
      <t>（单板交付）</t>
    </r>
  </si>
  <si>
    <t>TOP-G2-P3-S4-G5-BOT（内1S）</t>
  </si>
  <si>
    <t>TOP-G2-S3-S4-P5-S6-G7-BOT（内3S）</t>
  </si>
  <si>
    <t>TOP-G2-S3-G4-P5-S6-G7-S8-G9-BOT（内3S）</t>
  </si>
  <si>
    <t>TOP-G2-S3-P4-S5-G6-S7-S8-G9-S10-G11-BOT（内5S）</t>
  </si>
  <si>
    <t>TOP-G2-S3-G4-S5-G6-P7-S8-G9-S10-G11-S12-G13-BOT（内5S）</t>
  </si>
  <si>
    <t>TOP-G2-S3-G4-S5-G6-S7-G8-S9-S10-G11-S12-P13-S14-G15-BOT（内7S）</t>
  </si>
  <si>
    <t>TOP-G2-S3-G4-S5-G6-S7-G8-P9-S10-G11-S12-G13-S14-G15-S16-G17-BOT（内7S）</t>
  </si>
  <si>
    <t>TOP-G2-S3-G4-S5-G6-S7-P8-S9-G10-S11-S12-G13-S14-G15-S16-G17-S18-G19-BOT（内9S）</t>
  </si>
  <si>
    <t>TOP-G2-S3-G4-S5-G6-S7-G8-S9-G10-P11-S12-G13-S14-G15-S16-G17-S18-G19-S20-G21-BOT（内9S）</t>
  </si>
  <si>
    <t>TOP-G2-S3-G4-S5-G6-S7-G8-S9-P10-S11-G12-S13-S14-G15-S16-G17-S18-G19-S20-G21-S22-G23-BOT（内11S）</t>
  </si>
  <si>
    <t>TOP-G2-S3-G4-S5-G6-S7-G8-S9-G10-S11-G12-P13-S14-G15-S16-G17-S18-G19-S20-G21-S22-G23-S24-G25-BOT（内11S）</t>
  </si>
  <si>
    <t>TOP-G2-S3-G4-S5-G6-S7-G8-S9-G10-S11-P12-S13-G14-S15-S16-G17-S18-G19-S20-G21-S22-G23-S24-G25-S26-G27-BOT（内13S）</t>
  </si>
  <si>
    <t>TOP-G2-S3-G4-S5-G6-S7-G8-S9-G10-S11-G12-S13-G14-P15-S16-G17-S18-G19-S20-G21-S22-G23-S24-G25-S26-G27-S28-G29-BOT（内13S）</t>
  </si>
  <si>
    <t>TOP-G2-S3-G4-S5-G6-S7-G8-S9-G10-S11-G12-S13-P14-S15-G16-S17-S18-G19-S20-G21-S22-G23-S24-G25-S26-G27-S28-G29-S30-G31-BOT（内15S）</t>
  </si>
  <si>
    <t>TOP-G2-S3-G4-S5-G6-S7-G8-S9-G10-S11-G12-S13-G14-S15-G16-P17-S18-G19-S20-G21-S22-G23-S24-G25-S26-G27-S28-G29-S30-G31-S32-G33-BOT（内15S）</t>
  </si>
  <si>
    <t>TOP-G2-S3-G4-S5-G6-S7-G8-S9-G10-S11-G12-S13-G14-S15-P16-S17-G18-S19-S20-G21-S22-G23-S24-G25-S26-G27-S28-G29-S30-G31-S32-G33-S34-G35-BOT（内17S）</t>
  </si>
  <si>
    <r>
      <rPr>
        <sz val="10"/>
        <color theme="1"/>
        <rFont val="Arial"/>
        <charset val="134"/>
      </rPr>
      <t xml:space="preserve">Acceptance Criteria                          </t>
    </r>
    <r>
      <rPr>
        <sz val="10"/>
        <color theme="1"/>
        <rFont val="宋体"/>
        <charset val="134"/>
      </rPr>
      <t>验收标准</t>
    </r>
  </si>
  <si>
    <t>IPC-6012 II</t>
  </si>
  <si>
    <r>
      <rPr>
        <sz val="10"/>
        <color theme="1"/>
        <rFont val="Arial"/>
        <charset val="134"/>
      </rPr>
      <t xml:space="preserve">PCB Warpage                 </t>
    </r>
    <r>
      <rPr>
        <sz val="10"/>
        <color theme="1"/>
        <rFont val="宋体"/>
        <charset val="134"/>
      </rPr>
      <t>翘曲度</t>
    </r>
  </si>
  <si>
    <t>TOP-G2-S3-S4-P5-BOT（内2S）</t>
  </si>
  <si>
    <t>TOP-G2-S3-P4-S5-S6-G7-BOT（内3S）</t>
  </si>
  <si>
    <t>TOP-G2-S3-G4-S5-S6-P7-S8-G9-BOT（内4S）</t>
  </si>
  <si>
    <t>TOP-G2-S3-G4-S5-S6-G7-S8-P9-S10-G11-BOT（内5S）</t>
  </si>
  <si>
    <t>TOP-G2-S3-G4-S5-G6-S7-S8-G9-S10-P11-S12-G13-BOT（内6S）</t>
  </si>
  <si>
    <t>TOP-G2-S3-G4-S5-G6-S7-S8-G9-S10-G11-S12-P13-S14-G15-BOT（内7S）</t>
  </si>
  <si>
    <t>TOP-G2-S3-G4-S5-G6-S7-G8-S9-S10-G11-S12-P13-S14-G15-S16-G17-BOT（内8S）</t>
  </si>
  <si>
    <t>TOP-G2-S3-G4-S5-G6-S7-G8-S9-S10-G11-S12-P13-S14-G15-S16-G17-S18-G19-BOT（内9S）</t>
  </si>
  <si>
    <t>TOP-G2-S3-G4-S5-G6-S7-G8-S9-G10-S11-S12-G13-S14-P15-S16-G17-S18-G19-S20-G21-BOT（内10S）</t>
  </si>
  <si>
    <t>TOP-G2-S3-G4-S5-G6-S7-G8-S9-G10-S11-S12-G13-S14-P15-S16-G17-S18-G19-S20-G21-S22-G23-BOT（内11S）</t>
  </si>
  <si>
    <t>TOP-G2-S3-G4-S5-G6-S7-G8-S9-G10-S11-G12-S13-S14-G15-S16-P17-S18-G19-S20-G21-S22-G23-S24-G25-BOT（内12S）</t>
  </si>
  <si>
    <t>TOP-G2-S3-G4-S5-G6-S7-G8-S9-G10-S11-G12-S13-S14-G15-S16-P17-S18-G19-S20-G21-S22-G23-S24-G25-S26-G27-BOT（内13S）</t>
  </si>
  <si>
    <t>TOP-G2-S3-G4-S5-G6-S7-G8-S9-G10-S11-G12-S13-G14-S15-S16-G17-S18-P19-S20-G21-S22-G23-S24-G25-S26-G27-S28-G29-BOT（内14S）</t>
  </si>
  <si>
    <t>TOP-G2-S3-G4-S5-G6-S7-G8-S9-G10-S11-G12-S13-G14-S15-S16-G17-S18-P19-S20-G21-S22-G23-S24-G25-S26-G27-S28-G29-S30-G31-BOT（内15S）</t>
  </si>
  <si>
    <t>TOP-G2-S3-G4-S5-G6-S7-G8-S9-G10-S11-G12-S13-G14-S15-G16-S17-S18-G19-S20-P21-S22-G23-S24-G25-S26-G27-S28-G29-S30-G31-S32-G33-BOT（内16S）</t>
  </si>
  <si>
    <t>TOP-G2-S3-G4-S5-G6-S7-G8-S9-G10-S11-G12-S13-G14-S15-G16-S17-S18-G19-S20-P21-S22-G23-S24-G25-S26-G27-S28-G29-S30-G31-S32-G33-S34-G35-BOT（内17S）</t>
  </si>
  <si>
    <r>
      <rPr>
        <sz val="10"/>
        <color theme="1"/>
        <rFont val="Arial"/>
        <charset val="134"/>
      </rPr>
      <t xml:space="preserve">Surface Finish                                 </t>
    </r>
    <r>
      <rPr>
        <sz val="10"/>
        <color theme="1"/>
        <rFont val="宋体"/>
        <charset val="134"/>
      </rPr>
      <t>表面处理</t>
    </r>
  </si>
  <si>
    <t>HASL lead free 无铅喷锡</t>
  </si>
  <si>
    <r>
      <rPr>
        <sz val="10"/>
        <color theme="1"/>
        <rFont val="Arial"/>
        <charset val="134"/>
      </rPr>
      <t xml:space="preserve">Via Process                    </t>
    </r>
    <r>
      <rPr>
        <sz val="10"/>
        <color theme="1"/>
        <rFont val="宋体"/>
        <charset val="134"/>
      </rPr>
      <t>过孔方式</t>
    </r>
  </si>
  <si>
    <t>Plugged vias with solder mask 阻焊塞孔</t>
  </si>
  <si>
    <t>TOP-G2-S3-S4-G5-P6-S7-S8-G9-BOT（内4S）</t>
  </si>
  <si>
    <t>TOP-G2-S3-S4-G5-P6-P7-G8-S9-S10-G11-BOT（内4S）</t>
  </si>
  <si>
    <t>TOP-G2-S3-G4-S5-G6-P7-P8-G9-S10-G11-S12-G13-BOT（内4S）</t>
  </si>
  <si>
    <t>TOP-G2-S3-G4-S5-S6-G7-P8-P9-G10-S11-S12-G13-S14-G15-BOT（内6S）</t>
  </si>
  <si>
    <t>TOP-G2-S3-G4-S5-G6-S7-G8-P9-P10-G11-S12-G13-S14-G15-S16-G17-BOT（内6S）</t>
  </si>
  <si>
    <t>TOP-G2-S3-G4-S5-G6-S7-S8-G9-P10-P11-G12-S13-S14-G15-S16-G17-S18-G19-BOT（内8S）</t>
  </si>
  <si>
    <t>TOP-G2-S3-G4-S5-G6-S7-G8-S9-G10-P11-P12-G13-S14-G15-S16-G17-S18-G19-S20-G21-BOT（内8S）</t>
  </si>
  <si>
    <t>TOP-G2-S3-G4-S5-G6-S7-G8-S9-S10-G11-P12-P13-G14-S15-S16-G17-S18-G19-S20-G21-S22-G23-BOT（内10S）</t>
  </si>
  <si>
    <t>TOP-G2-S3-G4-S5-G6-S7-G8-S9-G10-S11-G12-P13-P14-G15-S16-G17-S18-G19-S20-G21-S22-G23-S24-G25-BOT（内10S）</t>
  </si>
  <si>
    <t>TOP-G2-S3-G4-S5-G6-S7-G8-S9-G10-S11-S12-G13-P14-P15-G16-S17-S18-G19-S20-G21-S22-G23-S24-G25-S26-G27-BOT（内12S）</t>
  </si>
  <si>
    <t>TOP-G2-S3-G4-S5-G6-S7-G8-S9-G10-S11-G12-S13-G14-P15-P16-G17-S18-G19-S20-G21-S22-G23-S24-G25-S26-G27-S28-G29-BOT（内12S）</t>
  </si>
  <si>
    <t>TOP-G2-S3-G4-S5-G6-S7-G8-S9-G10-S11-G12-S13-S14-G15-P16-P17-G18-S19-S20-G21-S22-G23-S24-G25-S26-G27-S28-G29-S30-G31-BOT（内14S）</t>
  </si>
  <si>
    <t>TOP-G2-S3-G4-S5-G6-S7-G8-S9-G10-S11-G12-S13-G14-S15-G16-P17-P18-G19-S20-G21-S22-G23-S24-G25-S26-G27-S28-G29-S30-G31-S32-G33-BOT（内14S）</t>
  </si>
  <si>
    <t>TOP-G2-S3-G4-S5-G6-S7-G8-S9-G10-S11-G12-S13-G14-S15-S16-G17-P18-P19-G20-S21-S22-G23-S24-G25-S26-G27-S28-G29-S30-G31-S32-G33-S34-G35-BOT（内16S）</t>
  </si>
  <si>
    <r>
      <rPr>
        <sz val="10"/>
        <color theme="1"/>
        <rFont val="Arial"/>
        <charset val="134"/>
      </rPr>
      <t xml:space="preserve">Soldermask                                          </t>
    </r>
    <r>
      <rPr>
        <sz val="10"/>
        <color theme="1"/>
        <rFont val="宋体"/>
        <charset val="134"/>
      </rPr>
      <t>阻焊颜色</t>
    </r>
  </si>
  <si>
    <t>Green 绿色</t>
  </si>
  <si>
    <r>
      <rPr>
        <sz val="10"/>
        <color theme="1"/>
        <rFont val="Arial"/>
        <charset val="134"/>
      </rPr>
      <t xml:space="preserve">Silkscreen                       </t>
    </r>
    <r>
      <rPr>
        <sz val="10"/>
        <color theme="1"/>
        <rFont val="宋体"/>
        <charset val="134"/>
      </rPr>
      <t>丝印</t>
    </r>
  </si>
  <si>
    <t>White 白色</t>
  </si>
  <si>
    <t>无阻抗要求</t>
  </si>
  <si>
    <t>TOP-G2-S3-G4-P5-P6-G7-S8-G9-BOT（内2S）</t>
  </si>
  <si>
    <r>
      <rPr>
        <sz val="10"/>
        <color theme="1"/>
        <rFont val="Arial"/>
        <charset val="134"/>
      </rPr>
      <t xml:space="preserve">Special Markings                             </t>
    </r>
    <r>
      <rPr>
        <sz val="10"/>
        <color theme="1"/>
        <rFont val="宋体"/>
        <charset val="134"/>
      </rPr>
      <t>特殊标记</t>
    </r>
  </si>
  <si>
    <t>None</t>
  </si>
  <si>
    <r>
      <rPr>
        <sz val="10"/>
        <color theme="1"/>
        <rFont val="Arial"/>
        <charset val="134"/>
      </rPr>
      <t xml:space="preserve">Cycle Identification           </t>
    </r>
    <r>
      <rPr>
        <sz val="10"/>
        <color theme="1"/>
        <rFont val="宋体"/>
        <charset val="134"/>
      </rPr>
      <t>周期标识</t>
    </r>
  </si>
  <si>
    <t>No 不加</t>
  </si>
  <si>
    <r>
      <rPr>
        <b/>
        <sz val="11"/>
        <color theme="1"/>
        <rFont val="Arial"/>
        <charset val="134"/>
      </rPr>
      <t>2. Stackup Information</t>
    </r>
    <r>
      <rPr>
        <b/>
        <sz val="11"/>
        <color theme="1"/>
        <rFont val="宋体"/>
        <charset val="134"/>
      </rPr>
      <t>（叠层信息）</t>
    </r>
  </si>
  <si>
    <t>TOP</t>
  </si>
  <si>
    <t>=======================================</t>
  </si>
  <si>
    <t>0.5 Oz+Plating</t>
  </si>
  <si>
    <t>PP</t>
  </si>
  <si>
    <t>GND02</t>
  </si>
  <si>
    <t>35um（1Oz）</t>
  </si>
  <si>
    <t>Core</t>
  </si>
  <si>
    <t>PWR03</t>
  </si>
  <si>
    <t>BOTTOM</t>
  </si>
  <si>
    <r>
      <rPr>
        <b/>
        <sz val="11"/>
        <color theme="1"/>
        <rFont val="Arial"/>
        <charset val="134"/>
      </rPr>
      <t>3.Impedance Information</t>
    </r>
    <r>
      <rPr>
        <b/>
        <sz val="11"/>
        <color theme="1"/>
        <rFont val="宋体"/>
        <charset val="134"/>
      </rPr>
      <t>（阻抗信息）</t>
    </r>
    <r>
      <rPr>
        <b/>
        <sz val="11"/>
        <color theme="1"/>
        <rFont val="Arial"/>
        <charset val="134"/>
      </rPr>
      <t xml:space="preserve">No impedance requirement  </t>
    </r>
    <r>
      <rPr>
        <b/>
        <sz val="11"/>
        <color theme="1"/>
        <rFont val="宋体"/>
        <charset val="134"/>
      </rPr>
      <t>（无阻抗要求）</t>
    </r>
  </si>
  <si>
    <r>
      <rPr>
        <sz val="11"/>
        <color theme="1"/>
        <rFont val="Arial"/>
        <charset val="134"/>
      </rPr>
      <t xml:space="preserve">Impedance Type                           </t>
    </r>
    <r>
      <rPr>
        <sz val="11"/>
        <color theme="1"/>
        <rFont val="宋体"/>
        <charset val="134"/>
      </rPr>
      <t>阻抗类型</t>
    </r>
  </si>
  <si>
    <r>
      <rPr>
        <sz val="11"/>
        <color theme="1"/>
        <rFont val="Arial"/>
        <charset val="134"/>
      </rPr>
      <t xml:space="preserve">Impedance Value </t>
    </r>
    <r>
      <rPr>
        <sz val="11"/>
        <color theme="1"/>
        <rFont val="宋体"/>
        <charset val="134"/>
      </rPr>
      <t>阻抗值</t>
    </r>
  </si>
  <si>
    <r>
      <rPr>
        <sz val="11"/>
        <color theme="1"/>
        <rFont val="宋体"/>
        <charset val="134"/>
      </rPr>
      <t xml:space="preserve">	</t>
    </r>
    <r>
      <rPr>
        <sz val="11"/>
        <color theme="1"/>
        <rFont val="Arial"/>
        <charset val="134"/>
      </rPr>
      <t xml:space="preserve">Control Layer                         </t>
    </r>
    <r>
      <rPr>
        <sz val="11"/>
        <color theme="1"/>
        <rFont val="宋体"/>
        <charset val="134"/>
      </rPr>
      <t>控制层</t>
    </r>
  </si>
  <si>
    <r>
      <rPr>
        <sz val="11"/>
        <color theme="1"/>
        <rFont val="Arial"/>
        <charset val="134"/>
      </rPr>
      <t xml:space="preserve">Trace Width / Spacing (mil)        </t>
    </r>
    <r>
      <rPr>
        <sz val="11"/>
        <color theme="1"/>
        <rFont val="宋体"/>
        <charset val="134"/>
      </rPr>
      <t>线宽</t>
    </r>
    <r>
      <rPr>
        <sz val="11"/>
        <color theme="1"/>
        <rFont val="Arial"/>
        <charset val="134"/>
      </rPr>
      <t>/</t>
    </r>
    <r>
      <rPr>
        <sz val="11"/>
        <color theme="1"/>
        <rFont val="宋体"/>
        <charset val="134"/>
      </rPr>
      <t>线距</t>
    </r>
  </si>
  <si>
    <r>
      <rPr>
        <sz val="11"/>
        <color theme="1"/>
        <rFont val="Arial"/>
        <charset val="134"/>
      </rPr>
      <t xml:space="preserve">solder mask on the traces                 </t>
    </r>
    <r>
      <rPr>
        <sz val="11"/>
        <color theme="1"/>
        <rFont val="宋体"/>
        <charset val="134"/>
      </rPr>
      <t>盖油</t>
    </r>
  </si>
  <si>
    <r>
      <rPr>
        <sz val="11"/>
        <color theme="1"/>
        <rFont val="宋体"/>
        <charset val="134"/>
      </rPr>
      <t>单端（</t>
    </r>
    <r>
      <rPr>
        <sz val="11"/>
        <color theme="1"/>
        <rFont val="Arial"/>
        <charset val="134"/>
      </rPr>
      <t>Default line</t>
    </r>
    <r>
      <rPr>
        <sz val="11"/>
        <color theme="1"/>
        <rFont val="宋体"/>
        <charset val="134"/>
      </rPr>
      <t>）</t>
    </r>
  </si>
  <si>
    <t>TOP/BOTTOM</t>
  </si>
  <si>
    <r>
      <rPr>
        <sz val="11"/>
        <color theme="1"/>
        <rFont val="宋体"/>
        <charset val="134"/>
      </rPr>
      <t>是</t>
    </r>
    <r>
      <rPr>
        <sz val="11"/>
        <color theme="1"/>
        <rFont val="Arial"/>
        <charset val="134"/>
      </rPr>
      <t>/YES</t>
    </r>
  </si>
  <si>
    <r>
      <rPr>
        <sz val="11"/>
        <color theme="1"/>
        <rFont val="宋体"/>
        <charset val="134"/>
      </rPr>
      <t>差分（</t>
    </r>
    <r>
      <rPr>
        <sz val="11"/>
        <color theme="1"/>
        <rFont val="Arial"/>
        <charset val="134"/>
      </rPr>
      <t>Differential line</t>
    </r>
    <r>
      <rPr>
        <sz val="11"/>
        <color theme="1"/>
        <rFont val="宋体"/>
        <charset val="134"/>
      </rPr>
      <t>）</t>
    </r>
  </si>
  <si>
    <r>
      <rPr>
        <b/>
        <sz val="11"/>
        <color theme="1"/>
        <rFont val="Arial"/>
        <charset val="134"/>
      </rPr>
      <t>4. Special Instructions</t>
    </r>
    <r>
      <rPr>
        <b/>
        <sz val="11"/>
        <color theme="1"/>
        <rFont val="宋体"/>
        <charset val="134"/>
      </rPr>
      <t>（特殊说明）</t>
    </r>
  </si>
  <si>
    <r>
      <rPr>
        <sz val="11"/>
        <color theme="1"/>
        <rFont val="Arial"/>
        <charset val="134"/>
      </rPr>
      <t>a. Adjust the layer spacing, trace width, and trace spacing according to actual conditions, but the overall board thickness and impedance requirements must be met.</t>
    </r>
    <r>
      <rPr>
        <sz val="11"/>
        <color theme="1"/>
        <rFont val="宋体"/>
        <charset val="134"/>
      </rPr>
      <t>（根据实际情况调整层间距、线宽和线距，但必须满足整体板厚和阻抗要求）</t>
    </r>
    <r>
      <rPr>
        <sz val="11"/>
        <color theme="1"/>
        <rFont val="Arial"/>
        <charset val="134"/>
      </rPr>
      <t xml:space="preserve">
b. The dielectric thickness between layers may be adjusted.</t>
    </r>
    <r>
      <rPr>
        <sz val="11"/>
        <color theme="1"/>
        <rFont val="宋体"/>
        <charset val="134"/>
      </rPr>
      <t>（层间介质厚度可调整）</t>
    </r>
    <r>
      <rPr>
        <sz val="11"/>
        <color theme="1"/>
        <rFont val="Arial"/>
        <charset val="134"/>
      </rPr>
      <t xml:space="preserve">
c. Trace width may be adjusted.</t>
    </r>
    <r>
      <rPr>
        <sz val="11"/>
        <color theme="1"/>
        <rFont val="宋体"/>
        <charset val="134"/>
      </rPr>
      <t>（线宽可调整）</t>
    </r>
    <r>
      <rPr>
        <sz val="11"/>
        <color theme="1"/>
        <rFont val="Arial"/>
        <charset val="134"/>
      </rPr>
      <t xml:space="preserve">
d.Please compare IPC with short circuit, and if there are any issues, please confirm with EQ.(</t>
    </r>
    <r>
      <rPr>
        <sz val="11"/>
        <color theme="1"/>
        <rFont val="宋体"/>
        <charset val="134"/>
      </rPr>
      <t>请</t>
    </r>
    <r>
      <rPr>
        <sz val="11"/>
        <color theme="1"/>
        <rFont val="Arial"/>
        <charset val="134"/>
      </rPr>
      <t>ipc</t>
    </r>
    <r>
      <rPr>
        <sz val="11"/>
        <color theme="1"/>
        <rFont val="宋体"/>
        <charset val="134"/>
      </rPr>
      <t>开短路比对，如果有问题，请</t>
    </r>
    <r>
      <rPr>
        <sz val="11"/>
        <color theme="1"/>
        <rFont val="Arial"/>
        <charset val="134"/>
      </rPr>
      <t>EQ</t>
    </r>
    <r>
      <rPr>
        <sz val="11"/>
        <color theme="1"/>
        <rFont val="宋体"/>
        <charset val="134"/>
      </rPr>
      <t>确认。</t>
    </r>
    <r>
      <rPr>
        <sz val="11"/>
        <color theme="1"/>
        <rFont val="Arial"/>
        <charset val="134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</si>
</sst>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b/>
      <sz val="18"/>
      <color theme="1"/>
      <name val="Arial"/>
      <charset val="134"/>
    </font>
    <font>
      <sz val="10"/>
      <color theme="1"/>
      <name val="Arial"/>
      <charset val="134"/>
    </font>
    <font>
      <b/>
      <sz val="11"/>
      <color theme="1"/>
      <name val="Arial"/>
      <charset val="134"/>
    </font>
    <font>
      <b/>
      <sz val="9"/>
      <color theme="1"/>
      <name val="宋体"/>
      <charset val="134"/>
      <scheme val="minor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u/>
      <sz val="13.8"/>
      <color indexed="12"/>
      <name val="宋体"/>
      <charset val="134"/>
    </font>
    <font>
      <sz val="10"/>
      <color theme="1"/>
      <name val="宋体"/>
      <charset val="134"/>
    </font>
    <font>
      <b/>
      <sz val="11"/>
      <color theme="1"/>
      <name val="宋体"/>
      <charset val="134"/>
    </font>
    <font>
      <b/>
      <sz val="18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3" borderId="2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29" applyNumberFormat="0" applyAlignment="0" applyProtection="0">
      <alignment vertical="center"/>
    </xf>
    <xf numFmtId="0" fontId="21" fillId="5" borderId="30" applyNumberFormat="0" applyAlignment="0" applyProtection="0">
      <alignment vertical="center"/>
    </xf>
    <xf numFmtId="0" fontId="22" fillId="5" borderId="29" applyNumberFormat="0" applyAlignment="0" applyProtection="0">
      <alignment vertical="center"/>
    </xf>
    <xf numFmtId="0" fontId="23" fillId="6" borderId="31" applyNumberFormat="0" applyAlignment="0" applyProtection="0">
      <alignment vertical="center"/>
    </xf>
    <xf numFmtId="0" fontId="24" fillId="0" borderId="32" applyNumberFormat="0" applyFill="0" applyAlignment="0" applyProtection="0">
      <alignment vertical="center"/>
    </xf>
    <xf numFmtId="0" fontId="25" fillId="0" borderId="33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1" fillId="0" borderId="0"/>
    <xf numFmtId="0" fontId="31" fillId="0" borderId="0">
      <alignment vertical="center"/>
    </xf>
    <xf numFmtId="0" fontId="31" fillId="0" borderId="0"/>
    <xf numFmtId="0" fontId="0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protection locked="0"/>
    </xf>
    <xf numFmtId="0" fontId="3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  <xf numFmtId="0" fontId="32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2" borderId="0" xfId="59" applyFont="1" applyFill="1" applyProtection="1">
      <alignment vertical="center"/>
      <protection locked="0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2" borderId="11" xfId="59" applyFont="1" applyFill="1" applyBorder="1" applyAlignment="1" applyProtection="1">
      <alignment horizontal="center" vertical="center"/>
      <protection locked="0"/>
    </xf>
    <xf numFmtId="0" fontId="6" fillId="0" borderId="11" xfId="0" applyFont="1" applyBorder="1" applyAlignment="1">
      <alignment horizontal="center" vertical="center" wrapText="1"/>
    </xf>
    <xf numFmtId="0" fontId="5" fillId="2" borderId="11" xfId="59" applyFont="1" applyFill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>
      <alignment vertical="center"/>
    </xf>
    <xf numFmtId="10" fontId="2" fillId="0" borderId="11" xfId="0" applyNumberFormat="1" applyFont="1" applyBorder="1" applyAlignment="1">
      <alignment horizontal="center" vertical="center" wrapText="1"/>
    </xf>
    <xf numFmtId="0" fontId="0" fillId="0" borderId="11" xfId="0" applyBorder="1"/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9" fillId="0" borderId="5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7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0" borderId="10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0" fillId="0" borderId="13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23" xfId="0" applyFont="1" applyFill="1" applyBorder="1" applyAlignment="1">
      <alignment horizontal="left" vertical="center" wrapText="1"/>
    </xf>
    <xf numFmtId="0" fontId="9" fillId="0" borderId="24" xfId="0" applyFont="1" applyFill="1" applyBorder="1" applyAlignment="1">
      <alignment horizontal="left" vertical="center" wrapText="1"/>
    </xf>
    <xf numFmtId="0" fontId="9" fillId="0" borderId="25" xfId="0" applyFont="1" applyFill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/>
    </xf>
    <xf numFmtId="0" fontId="0" fillId="0" borderId="16" xfId="0" applyBorder="1" applyAlignment="1" quotePrefix="1">
      <alignment horizontal="center" vertical="center"/>
    </xf>
    <xf numFmtId="0" fontId="0" fillId="0" borderId="0" xfId="0" applyBorder="1" applyAlignment="1" quotePrefix="1">
      <alignment horizontal="center" vertical="center"/>
    </xf>
    <xf numFmtId="0" fontId="0" fillId="0" borderId="21" xfId="0" applyBorder="1" applyAlignment="1" quotePrefix="1">
      <alignment horizontal="center" vertical="center"/>
    </xf>
  </cellXfs>
  <cellStyles count="6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16" xfId="50"/>
    <cellStyle name="常规 2 2 2" xfId="51"/>
    <cellStyle name="常规 3 2" xfId="52"/>
    <cellStyle name="常规 2 2" xfId="53"/>
    <cellStyle name="常规 2 3" xfId="54"/>
    <cellStyle name="常规 16 2" xfId="55"/>
    <cellStyle name="常规 16 2 2" xfId="56"/>
    <cellStyle name="常规 16 3" xfId="57"/>
    <cellStyle name="常规 16 5" xfId="58"/>
    <cellStyle name="常规 2" xfId="59"/>
    <cellStyle name="常规 3" xfId="60"/>
    <cellStyle name="常规 4" xfId="61"/>
    <cellStyle name="常规 4 2" xfId="62"/>
    <cellStyle name="常规 5" xfId="63"/>
    <cellStyle name="超链接 2" xfId="64"/>
    <cellStyle name="超链接 2 2" xfId="65"/>
    <cellStyle name="超链接 3" xfId="66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6"/>
  <sheetViews>
    <sheetView tabSelected="1" workbookViewId="0">
      <selection activeCell="AC11" sqref="AC11"/>
    </sheetView>
  </sheetViews>
  <sheetFormatPr defaultColWidth="9" defaultRowHeight="13.5"/>
  <cols>
    <col min="1" max="1" width="28.5" customWidth="1"/>
    <col min="2" max="2" width="16.25" customWidth="1"/>
    <col min="3" max="3" width="4.75" customWidth="1"/>
    <col min="4" max="4" width="20.5" customWidth="1"/>
    <col min="5" max="5" width="25.125" customWidth="1"/>
    <col min="6" max="6" width="22.125" customWidth="1"/>
    <col min="7" max="7" width="15.625" customWidth="1"/>
    <col min="8" max="8" width="19.5" customWidth="1"/>
    <col min="9" max="9" width="41.5" hidden="1" customWidth="1"/>
    <col min="10" max="26" width="9" hidden="1" customWidth="1"/>
  </cols>
  <sheetData>
    <row r="1" ht="42.75" customHeight="1" spans="1:26">
      <c r="A1" s="2" t="s">
        <v>0</v>
      </c>
      <c r="B1" s="2"/>
      <c r="C1" s="2"/>
      <c r="D1" s="2"/>
      <c r="E1" s="2"/>
      <c r="F1" s="2"/>
    </row>
    <row r="2" s="1" customFormat="1" ht="30.75" customHeight="1" spans="1:26">
      <c r="A2" s="3" t="s">
        <v>1</v>
      </c>
      <c r="B2" s="4"/>
      <c r="C2" s="5"/>
      <c r="D2" s="5"/>
      <c r="E2" s="5"/>
      <c r="F2" s="6"/>
    </row>
    <row r="3" s="1" customFormat="1" ht="24" customHeight="1" spans="1:26">
      <c r="A3" s="7" t="s">
        <v>2</v>
      </c>
      <c r="B3" s="7"/>
      <c r="C3" s="7"/>
      <c r="D3" s="7"/>
      <c r="E3" s="7"/>
      <c r="F3" s="7"/>
    </row>
    <row r="4" ht="30" customHeight="1" spans="1:26">
      <c r="A4" s="3" t="s">
        <v>3</v>
      </c>
      <c r="B4" s="8" t="s">
        <v>4</v>
      </c>
      <c r="C4" s="6"/>
      <c r="D4" s="9" t="s">
        <v>5</v>
      </c>
      <c r="E4" s="9" t="s">
        <v>6</v>
      </c>
      <c r="F4" s="10"/>
      <c r="I4" s="11" t="s">
        <v>7</v>
      </c>
      <c r="J4" s="1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34.5" customHeight="1" spans="1:26">
      <c r="A5" s="13" t="s">
        <v>8</v>
      </c>
      <c r="B5" s="14" t="s">
        <v>9</v>
      </c>
      <c r="C5" s="15"/>
      <c r="D5" s="16" t="s">
        <v>10</v>
      </c>
      <c r="E5" s="16" t="s">
        <v>11</v>
      </c>
      <c r="F5" s="17"/>
      <c r="I5" s="18" t="s">
        <v>12</v>
      </c>
      <c r="J5" s="18" t="s">
        <v>13</v>
      </c>
      <c r="K5" s="18" t="s">
        <v>14</v>
      </c>
      <c r="L5" s="18" t="s">
        <v>15</v>
      </c>
      <c r="M5" s="18" t="s">
        <v>16</v>
      </c>
      <c r="N5" s="18" t="s">
        <v>17</v>
      </c>
      <c r="O5" s="18" t="s">
        <v>18</v>
      </c>
      <c r="P5" s="18" t="s">
        <v>19</v>
      </c>
      <c r="Q5" s="18" t="s">
        <v>20</v>
      </c>
      <c r="R5" s="18" t="s">
        <v>21</v>
      </c>
      <c r="S5" s="18" t="s">
        <v>22</v>
      </c>
      <c r="T5" s="18" t="s">
        <v>23</v>
      </c>
      <c r="U5" s="18" t="s">
        <v>24</v>
      </c>
      <c r="V5" s="18" t="s">
        <v>25</v>
      </c>
      <c r="W5" s="18" t="s">
        <v>26</v>
      </c>
      <c r="X5" s="18" t="s">
        <v>27</v>
      </c>
      <c r="Y5" s="18" t="s">
        <v>28</v>
      </c>
      <c r="Z5" s="18" t="s">
        <v>29</v>
      </c>
    </row>
    <row r="6" ht="28.5" customHeight="1" spans="1:26">
      <c r="A6" s="13" t="s">
        <v>30</v>
      </c>
      <c r="B6" s="14" t="s">
        <v>31</v>
      </c>
      <c r="C6" s="15"/>
      <c r="D6" s="16" t="s">
        <v>32</v>
      </c>
      <c r="E6" s="16" t="s">
        <v>33</v>
      </c>
      <c r="F6" s="17"/>
      <c r="I6" s="19" t="str">
        <f>IF(ISERROR(HLOOKUP(B4,J5:Z10,1,0)),"",IF(AND(NOT(ISERROR(HLOOKUP(B4,J5:Z10,1,0))),HLOOKUP(B4,J5:Z10,2,0)&lt;&gt;""),HLOOKUP(B4,J5:Z10,2,0),""))</f>
        <v/>
      </c>
      <c r="J6" s="20" t="s">
        <v>34</v>
      </c>
      <c r="K6" s="20" t="s">
        <v>35</v>
      </c>
      <c r="L6" s="20" t="s">
        <v>36</v>
      </c>
      <c r="M6" s="20" t="s">
        <v>37</v>
      </c>
      <c r="N6" s="20" t="s">
        <v>38</v>
      </c>
      <c r="O6" s="20" t="s">
        <v>39</v>
      </c>
      <c r="P6" s="20" t="s">
        <v>40</v>
      </c>
      <c r="Q6" s="20" t="s">
        <v>41</v>
      </c>
      <c r="R6" s="20" t="s">
        <v>42</v>
      </c>
      <c r="S6" s="20" t="s">
        <v>43</v>
      </c>
      <c r="T6" s="20" t="s">
        <v>44</v>
      </c>
      <c r="U6" s="20" t="s">
        <v>45</v>
      </c>
      <c r="V6" s="20" t="s">
        <v>46</v>
      </c>
      <c r="W6" s="20" t="s">
        <v>47</v>
      </c>
      <c r="X6" s="20" t="s">
        <v>48</v>
      </c>
      <c r="Y6" s="20" t="s">
        <v>49</v>
      </c>
      <c r="Z6" s="20" t="s">
        <v>50</v>
      </c>
    </row>
    <row r="7" ht="24.75" customHeight="1" spans="1:26">
      <c r="A7" s="13" t="s">
        <v>51</v>
      </c>
      <c r="B7" s="16" t="s">
        <v>52</v>
      </c>
      <c r="C7" s="17"/>
      <c r="D7" s="16" t="s">
        <v>53</v>
      </c>
      <c r="E7" s="16" t="s">
        <v>54</v>
      </c>
      <c r="F7" s="17"/>
      <c r="I7" s="19" t="str">
        <f>IF(AND(ISERROR(HLOOKUP(B4,J5:Z10,1,0)),B4&lt;&gt;""),"",IF(AND(ISERROR(HLOOKUP(B4,J5:Z10,1,0)),B4=""),"请先选择印制板层数。",IF(AND(NOT(ISERROR(HLOOKUP(B4,J5:Z10,1,0))),HLOOKUP(B4,J5:Z10,3,0)&lt;&gt;""),HLOOKUP(B4,J5:Z10,3,0),"")))</f>
        <v/>
      </c>
      <c r="J7" s="21"/>
      <c r="K7" s="20" t="s">
        <v>55</v>
      </c>
      <c r="L7" s="20" t="s">
        <v>56</v>
      </c>
      <c r="M7" s="20" t="s">
        <v>57</v>
      </c>
      <c r="N7" s="20" t="s">
        <v>58</v>
      </c>
      <c r="O7" s="20" t="s">
        <v>59</v>
      </c>
      <c r="P7" s="20" t="s">
        <v>60</v>
      </c>
      <c r="Q7" s="20" t="s">
        <v>61</v>
      </c>
      <c r="R7" s="20" t="s">
        <v>62</v>
      </c>
      <c r="S7" s="20" t="s">
        <v>63</v>
      </c>
      <c r="T7" s="20" t="s">
        <v>64</v>
      </c>
      <c r="U7" s="20" t="s">
        <v>65</v>
      </c>
      <c r="V7" s="20" t="s">
        <v>66</v>
      </c>
      <c r="W7" s="20" t="s">
        <v>67</v>
      </c>
      <c r="X7" s="20" t="s">
        <v>68</v>
      </c>
      <c r="Y7" s="20" t="s">
        <v>69</v>
      </c>
      <c r="Z7" s="20" t="s">
        <v>70</v>
      </c>
    </row>
    <row r="8" ht="27" customHeight="1" spans="1:26">
      <c r="A8" s="13" t="s">
        <v>71</v>
      </c>
      <c r="B8" s="16" t="s">
        <v>72</v>
      </c>
      <c r="C8" s="17"/>
      <c r="D8" s="16" t="s">
        <v>73</v>
      </c>
      <c r="E8" s="22">
        <v>0.015</v>
      </c>
      <c r="F8" s="17"/>
      <c r="I8" s="19" t="str">
        <f>IF(ISERROR(HLOOKUP(B4,J5:Z10,1,0)),"",IF(AND(NOT(ISERROR(HLOOKUP(B4,J5:Z10,1,0))),HLOOKUP(B4,J5:Z10,4,0)&lt;&gt;""),HLOOKUP(B4,J5:Z10,4,0),""))</f>
        <v/>
      </c>
      <c r="J8" s="21"/>
      <c r="K8" s="20" t="s">
        <v>74</v>
      </c>
      <c r="L8" s="20" t="s">
        <v>75</v>
      </c>
      <c r="M8" s="20" t="s">
        <v>76</v>
      </c>
      <c r="N8" s="20" t="s">
        <v>77</v>
      </c>
      <c r="O8" s="20" t="s">
        <v>78</v>
      </c>
      <c r="P8" s="20" t="s">
        <v>79</v>
      </c>
      <c r="Q8" s="20" t="s">
        <v>80</v>
      </c>
      <c r="R8" s="20" t="s">
        <v>81</v>
      </c>
      <c r="S8" s="20" t="s">
        <v>82</v>
      </c>
      <c r="T8" s="20" t="s">
        <v>83</v>
      </c>
      <c r="U8" s="20" t="s">
        <v>84</v>
      </c>
      <c r="V8" s="20" t="s">
        <v>85</v>
      </c>
      <c r="W8" s="20" t="s">
        <v>86</v>
      </c>
      <c r="X8" s="20" t="s">
        <v>87</v>
      </c>
      <c r="Y8" s="20" t="s">
        <v>88</v>
      </c>
      <c r="Z8" s="20" t="s">
        <v>89</v>
      </c>
    </row>
    <row r="9" ht="27.75" customHeight="1" spans="1:26">
      <c r="A9" s="13" t="s">
        <v>90</v>
      </c>
      <c r="B9" s="16" t="s">
        <v>91</v>
      </c>
      <c r="C9" s="17"/>
      <c r="D9" s="16" t="s">
        <v>92</v>
      </c>
      <c r="E9" s="16" t="s">
        <v>93</v>
      </c>
      <c r="F9" s="17"/>
      <c r="I9" s="19" t="str">
        <f>IF(ISERROR(HLOOKUP(B4,J5:Z10,1,0)),"",IF(AND(NOT(ISERROR(HLOOKUP(B4,J5:Z10,1,0))),HLOOKUP(B4,J5:Z10,5,0)&lt;&gt;""),HLOOKUP(B4,J5:Z10,5,0),""))</f>
        <v/>
      </c>
      <c r="J9" s="20"/>
      <c r="K9" s="20"/>
      <c r="L9" s="20"/>
      <c r="M9" s="20" t="s">
        <v>94</v>
      </c>
      <c r="N9" s="20" t="s">
        <v>95</v>
      </c>
      <c r="O9" s="20" t="s">
        <v>96</v>
      </c>
      <c r="P9" s="20" t="s">
        <v>97</v>
      </c>
      <c r="Q9" s="20" t="s">
        <v>98</v>
      </c>
      <c r="R9" s="20" t="s">
        <v>99</v>
      </c>
      <c r="S9" s="20" t="s">
        <v>100</v>
      </c>
      <c r="T9" s="20" t="s">
        <v>101</v>
      </c>
      <c r="U9" s="20" t="s">
        <v>102</v>
      </c>
      <c r="V9" s="20" t="s">
        <v>103</v>
      </c>
      <c r="W9" s="20" t="s">
        <v>104</v>
      </c>
      <c r="X9" s="20" t="s">
        <v>105</v>
      </c>
      <c r="Y9" s="20" t="s">
        <v>106</v>
      </c>
      <c r="Z9" s="20" t="s">
        <v>107</v>
      </c>
    </row>
    <row r="10" ht="24.75" customHeight="1" spans="1:26">
      <c r="A10" s="13" t="s">
        <v>108</v>
      </c>
      <c r="B10" s="16" t="s">
        <v>109</v>
      </c>
      <c r="C10" s="17"/>
      <c r="D10" s="16" t="s">
        <v>110</v>
      </c>
      <c r="E10" s="16" t="s">
        <v>111</v>
      </c>
      <c r="F10" s="17"/>
      <c r="I10" s="23" t="s">
        <v>112</v>
      </c>
      <c r="J10" s="20"/>
      <c r="K10" s="20"/>
      <c r="L10" s="20"/>
      <c r="M10" s="20" t="s">
        <v>113</v>
      </c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26.25" customHeight="1" spans="1:26">
      <c r="A11" s="24" t="s">
        <v>114</v>
      </c>
      <c r="B11" s="16" t="s">
        <v>115</v>
      </c>
      <c r="C11" s="17"/>
      <c r="D11" s="25" t="s">
        <v>116</v>
      </c>
      <c r="E11" s="16" t="s">
        <v>117</v>
      </c>
      <c r="F11" s="17"/>
      <c r="I11" s="23"/>
    </row>
    <row r="12" ht="19.5" customHeight="1" spans="1:26">
      <c r="A12" s="7" t="s">
        <v>118</v>
      </c>
      <c r="B12" s="7"/>
      <c r="C12" s="7"/>
      <c r="D12" s="7"/>
      <c r="E12" s="7"/>
      <c r="F12" s="7"/>
    </row>
    <row r="13" ht="19.5" customHeight="1" spans="1:26">
      <c r="A13" s="26" t="s">
        <v>119</v>
      </c>
      <c r="B13" s="54" t="s">
        <v>120</v>
      </c>
      <c r="C13" s="27"/>
      <c r="D13" s="27"/>
      <c r="E13" s="27" t="s">
        <v>121</v>
      </c>
      <c r="F13" s="28"/>
    </row>
    <row r="14" ht="19.5" customHeight="1" spans="1:26">
      <c r="A14" s="29"/>
      <c r="B14" s="30" t="s">
        <v>122</v>
      </c>
      <c r="C14" s="31" t="s">
        <v>6</v>
      </c>
      <c r="D14" s="31"/>
      <c r="E14" s="30"/>
      <c r="F14" s="32"/>
    </row>
    <row r="15" ht="19.5" customHeight="1" spans="1:26">
      <c r="A15" s="33" t="s">
        <v>123</v>
      </c>
      <c r="B15" s="55" t="s">
        <v>120</v>
      </c>
      <c r="C15" s="30"/>
      <c r="D15" s="30"/>
      <c r="E15" s="30" t="s">
        <v>124</v>
      </c>
      <c r="F15" s="32"/>
    </row>
    <row r="16" ht="19.5" customHeight="1" spans="1:26">
      <c r="A16" s="29"/>
      <c r="B16" s="30" t="s">
        <v>125</v>
      </c>
      <c r="C16" s="31" t="s">
        <v>6</v>
      </c>
      <c r="D16" s="31"/>
      <c r="E16" s="30"/>
      <c r="F16" s="32"/>
    </row>
    <row r="17" ht="19.5" customHeight="1" spans="1:9">
      <c r="A17" s="34" t="s">
        <v>126</v>
      </c>
      <c r="B17" s="55" t="s">
        <v>120</v>
      </c>
      <c r="C17" s="30"/>
      <c r="D17" s="30"/>
      <c r="E17" s="30" t="s">
        <v>124</v>
      </c>
      <c r="F17" s="32"/>
    </row>
    <row r="18" ht="19.5" customHeight="1" spans="1:9">
      <c r="A18" s="29"/>
      <c r="B18" s="30" t="s">
        <v>122</v>
      </c>
      <c r="C18" s="31" t="s">
        <v>6</v>
      </c>
      <c r="D18" s="31"/>
      <c r="E18" s="30"/>
      <c r="F18" s="32"/>
    </row>
    <row r="19" ht="19.5" customHeight="1" spans="1:9">
      <c r="A19" s="35" t="s">
        <v>127</v>
      </c>
      <c r="B19" s="56" t="s">
        <v>120</v>
      </c>
      <c r="C19" s="36"/>
      <c r="D19" s="36"/>
      <c r="E19" s="36" t="s">
        <v>121</v>
      </c>
      <c r="F19" s="37"/>
    </row>
    <row r="20" ht="20.1" customHeight="1" spans="1:9">
      <c r="A20" s="7" t="s">
        <v>128</v>
      </c>
      <c r="B20" s="7"/>
      <c r="C20" s="7"/>
      <c r="D20" s="7"/>
      <c r="E20" s="7"/>
      <c r="F20" s="7"/>
    </row>
    <row r="21" ht="30" customHeight="1" spans="1:9">
      <c r="A21" s="38" t="s">
        <v>129</v>
      </c>
      <c r="B21" s="39" t="s">
        <v>130</v>
      </c>
      <c r="C21" s="40" t="s">
        <v>131</v>
      </c>
      <c r="D21" s="41"/>
      <c r="E21" s="39" t="s">
        <v>132</v>
      </c>
      <c r="F21" s="42" t="s">
        <v>133</v>
      </c>
    </row>
    <row r="22" ht="23.25" customHeight="1" spans="1:9">
      <c r="A22" s="43" t="s">
        <v>134</v>
      </c>
      <c r="B22" s="44"/>
      <c r="C22" s="45" t="s">
        <v>135</v>
      </c>
      <c r="D22" s="46"/>
      <c r="E22" s="44"/>
      <c r="F22" s="47" t="s">
        <v>136</v>
      </c>
    </row>
    <row r="23" ht="24.75" customHeight="1" spans="1:9">
      <c r="A23" s="48" t="s">
        <v>137</v>
      </c>
      <c r="B23" s="49"/>
      <c r="C23" s="45" t="s">
        <v>135</v>
      </c>
      <c r="D23" s="46"/>
      <c r="E23" s="49"/>
      <c r="F23" s="47" t="s">
        <v>136</v>
      </c>
    </row>
    <row r="24" ht="23.25" customHeight="1" spans="1:9">
      <c r="A24" s="7" t="s">
        <v>138</v>
      </c>
      <c r="B24" s="7"/>
      <c r="C24" s="7"/>
      <c r="D24" s="7"/>
      <c r="E24" s="7"/>
      <c r="F24" s="7"/>
    </row>
    <row r="25" ht="77.1" customHeight="1" spans="1:9">
      <c r="A25" s="50" t="s">
        <v>139</v>
      </c>
      <c r="B25" s="51"/>
      <c r="C25" s="51"/>
      <c r="D25" s="51"/>
      <c r="E25" s="51"/>
      <c r="F25" s="52"/>
    </row>
    <row r="26" spans="1:9">
      <c r="F26" s="53"/>
      <c r="G26" s="53"/>
      <c r="H26" s="53"/>
      <c r="I26" s="53"/>
    </row>
  </sheetData>
  <mergeCells count="41">
    <mergeCell ref="A1:F1"/>
    <mergeCell ref="B2:F2"/>
    <mergeCell ref="A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C10"/>
    <mergeCell ref="E10:F10"/>
    <mergeCell ref="B11:C11"/>
    <mergeCell ref="E11:F11"/>
    <mergeCell ref="A12:F12"/>
    <mergeCell ref="B13:D13"/>
    <mergeCell ref="E13:F13"/>
    <mergeCell ref="C14:D14"/>
    <mergeCell ref="E14:F14"/>
    <mergeCell ref="B15:D15"/>
    <mergeCell ref="E15:F15"/>
    <mergeCell ref="C16:D16"/>
    <mergeCell ref="E16:F16"/>
    <mergeCell ref="B17:D17"/>
    <mergeCell ref="E17:F17"/>
    <mergeCell ref="C18:D18"/>
    <mergeCell ref="E18:F18"/>
    <mergeCell ref="B19:D19"/>
    <mergeCell ref="E19:F19"/>
    <mergeCell ref="A20:F20"/>
    <mergeCell ref="C21:D21"/>
    <mergeCell ref="C22:D22"/>
    <mergeCell ref="C23:D23"/>
    <mergeCell ref="A24:F24"/>
    <mergeCell ref="A25:F25"/>
    <mergeCell ref="F26:I26"/>
  </mergeCells>
  <dataValidations count="18">
    <dataValidation type="list" allowBlank="1" showInputMessage="1" showErrorMessage="1" sqref="B4:C4">
      <formula1>"2 layer (2层）,4 layer (4层）,6 layer (6层）,8 layer (8层）,10 layer (10层）,12 layer (12层）,14 layer (14层）,16 layer (16层）,18 layer (18层）,20 layer (20层）,22 layer (22层）,24 layer (24层）,26 layer (26层）,28 layer (28层）,30 layer (30层）"</formula1>
    </dataValidation>
    <dataValidation type="list" allowBlank="1" showInputMessage="1" showErrorMessage="1" sqref="E4:F4">
      <formula1>"FR4,Aluminum PCB （铝基板）,Rogers 4003C,Rogers 4350B"</formula1>
    </dataValidation>
    <dataValidation type="list" allowBlank="1" showInputMessage="1" showErrorMessage="1" sqref="B5:C5">
      <formula1>"0.8mm,1.0mm,1.2mm,1.6mm,2.0mm"</formula1>
    </dataValidation>
    <dataValidation type="list" allowBlank="1" showInputMessage="1" showErrorMessage="1" sqref="E5:F5">
      <formula1>"±10%,±0.1（Usually selected when the board thickness is less than 1mm 通常板厚小于1mm时选用）,others(其它)"</formula1>
    </dataValidation>
    <dataValidation type="list" allowBlank="1" showInputMessage="1" showErrorMessage="1" sqref="E6:F6">
      <formula1>"±0.15（usual 常规）,±0.2,±0.1,+0/-0.3,others(其它)"</formula1>
    </dataValidation>
    <dataValidation type="list" allowBlank="1" showInputMessage="1" showErrorMessage="1" sqref="B7:C7">
      <formula1>"Rigid PCB (刚性板),Rigid-flex PCB (刚挠板),Flex PCB (挠性板)"</formula1>
    </dataValidation>
    <dataValidation type="list" allowBlank="1" showInputMessage="1" showErrorMessage="1" sqref="B8:C8">
      <formula1>"GJB 362B-2009,QJ 831B-2011,GJB 7548-2012,QJ 201B-2012,IPC-6012 II,IPC-6012 III,IPC-6013 II,IPC-6013 III,IPC-6016 II,IPC-6016 III,IPC-6018 II,IPC-6018 III,SJ-20604,QJ 831B-2011+Aerospace-grade 宇航级,QJ 201B-2012+Aerospace-grade 宇航级,Others 其它"</formula1>
    </dataValidation>
    <dataValidation type="list" allowBlank="1" showInputMessage="1" showErrorMessage="1" sqref="E8:F8">
      <formula1>"1.5%,0.75%,0.5%,Others 其它"</formula1>
    </dataValidation>
    <dataValidation type="list" allowBlank="1" showInputMessage="1" showErrorMessage="1" sqref="B9:C9">
      <formula1>"HASL with lead 有铅喷锡,HASL lead free 无铅喷锡,Immersion gold(ENIG) 沉金,OSP,Immersion silver(Ag) 沉银,Immersion tin 沉锡,Hard gold 镀硬金,ENEPIG 镍钯金,HASL+Gold Finer 喷锡+金手指,Lead Free+Gold finger无铅喷锡+金手指,Immersion gold(ENIG)+Gold finger沉金+金手指,OSP+金手指,Others 其它"</formula1>
    </dataValidation>
    <dataValidation type="list" allowBlank="1" showInputMessage="1" showErrorMessage="1" sqref="E9:F9">
      <formula1>"Tenting vias 过孔盖油,Plugged vias with resin 树脂塞孔,Vias not covered 开窗,Plugged vias with solder mask at BGA BGA处阻焊塞孔(others as per file 其它按文件）,Plugged vias with solder mask 阻焊塞孔,Others 其它"</formula1>
    </dataValidation>
    <dataValidation type="list" allowBlank="1" showInputMessage="1" showErrorMessage="1" sqref="B10:C10">
      <formula1>"Green 绿色,Blue 蓝色,Black 黑色,Yellow 黄色,Red 红色,White 白色,Purple 紫色,Matter black 哑光黑,Matte green 哑光绿,Pink 粉色,Grey 灰色,Orange 橙色 ,Transparent 透明色"</formula1>
    </dataValidation>
    <dataValidation type="list" allowBlank="1" showInputMessage="1" showErrorMessage="1" sqref="E10:F10">
      <formula1>"White 白色,Yellow 黄色,Black 黑色,Blue 蓝色"</formula1>
    </dataValidation>
    <dataValidation type="list" allowBlank="1" showInputMessage="1" showErrorMessage="1" sqref="B11:C11">
      <formula1>"Logo,UL Certification (UL 证书） ,Factory Marking (工厂标记）,None"</formula1>
    </dataValidation>
    <dataValidation type="list" allowBlank="1" showInputMessage="1" showErrorMessage="1" sqref="E11:F11">
      <formula1>"Yes 加,No 不加"</formula1>
    </dataValidation>
    <dataValidation type="list" allowBlank="1" showInputMessage="1" showErrorMessage="1" sqref="B12:F12">
      <formula1>$I$6:$I$11</formula1>
    </dataValidation>
    <dataValidation type="list" allowBlank="1" showInputMessage="1" showErrorMessage="1" sqref="E13:F13 E19:F19">
      <formula1>"0.5 Oz+Plating,0.33 Oz+Plating,1 Oz+Plating,"</formula1>
    </dataValidation>
    <dataValidation type="list" allowBlank="1" showInputMessage="1" showErrorMessage="1" sqref="B14 B16 B18">
      <formula1>"PP,Core"</formula1>
    </dataValidation>
    <dataValidation type="list" allowBlank="1" showInputMessage="1" showErrorMessage="1" sqref="E15:F15 E17:F17">
      <formula1>"18um（1/2Oz）,35um（1Oz）,70um（2Oz）,105um（3Oz）,140um（4Oz）,其它"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稻草人</cp:lastModifiedBy>
  <dcterms:created xsi:type="dcterms:W3CDTF">2006-09-16T00:00:00Z</dcterms:created>
  <dcterms:modified xsi:type="dcterms:W3CDTF">2026-07-03T01:37:32Z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2AAE60FD62BE485D8DDAD2D83891046A_13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